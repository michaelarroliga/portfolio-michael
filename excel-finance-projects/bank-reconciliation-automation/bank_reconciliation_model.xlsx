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ch\Downloads\"/>
    </mc:Choice>
  </mc:AlternateContent>
  <xr:revisionPtr revIDLastSave="0" documentId="13_ncr:1_{69E7D138-2D3B-43CD-AB33-20355D484AC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laude Log" sheetId="5" state="hidden" r:id="rId1"/>
    <sheet name="Treasury_Dashboard" sheetId="16" r:id="rId2"/>
    <sheet name="Bank_Statement" sheetId="1" r:id="rId3"/>
    <sheet name="General_Ledger" sheetId="2" r:id="rId4"/>
    <sheet name="Reconciliation_Rules" sheetId="3" r:id="rId5"/>
    <sheet name="Claude_AI_Prompt" sheetId="4" state="hidden" r:id="rId6"/>
    <sheet name="Reconciliation_Output" sheetId="9" r:id="rId7"/>
    <sheet name="Bank_Only" sheetId="10" r:id="rId8"/>
    <sheet name="Summary_KPI " sheetId="12" r:id="rId9"/>
    <sheet name="GL_Only" sheetId="11" r:id="rId10"/>
    <sheet name="PowerQuery_M_Code" sheetId="8" r:id="rId11"/>
    <sheet name="Treasury_Dashboard_Guide" sheetId="15" state="hidden" r:id="rId12"/>
  </sheets>
  <definedNames>
    <definedName name="DatosExternos_1" localSheetId="7" hidden="1">Bank_Only!$A$1:$S$4</definedName>
    <definedName name="DatosExternos_1" localSheetId="9" hidden="1">GL_Only!$A$1:$S$2</definedName>
    <definedName name="DatosExternos_1" localSheetId="6" hidden="1">'Reconciliation_Output'!$A$1:$S$18</definedName>
    <definedName name="DatosExternos_1" localSheetId="8" hidden="1">'Summary_KPI '!$A$1:$G$16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6" l="1"/>
  <c r="I20" i="16"/>
  <c r="H20" i="16"/>
  <c r="I19" i="16"/>
  <c r="H19" i="16"/>
  <c r="I18" i="16"/>
  <c r="H18" i="16"/>
  <c r="I17" i="16"/>
  <c r="H17" i="16"/>
  <c r="I16" i="16"/>
  <c r="H16" i="16"/>
  <c r="I15" i="16"/>
  <c r="H15" i="16"/>
  <c r="I14" i="16"/>
  <c r="H14" i="16"/>
  <c r="C18" i="16"/>
  <c r="D18" i="16" s="1"/>
  <c r="C17" i="16"/>
  <c r="D17" i="16" s="1"/>
  <c r="C16" i="16"/>
  <c r="D16" i="16" s="1"/>
  <c r="C15" i="16"/>
  <c r="D15" i="16" s="1"/>
  <c r="C14" i="16"/>
  <c r="H9" i="16"/>
  <c r="B9" i="16"/>
  <c r="H6" i="16"/>
  <c r="E6" i="16"/>
  <c r="B6" i="16"/>
  <c r="E81" i="15" a="1"/>
  <c r="E81" i="15" s="1"/>
  <c r="E80" i="15"/>
  <c r="E79" i="15"/>
  <c r="E78" i="15"/>
  <c r="E77" i="15"/>
  <c r="E76" i="15"/>
  <c r="E75" i="15"/>
  <c r="E74" i="15"/>
  <c r="E73" i="15"/>
  <c r="E72" i="15"/>
  <c r="E71" i="15" a="1"/>
  <c r="E71" i="15" s="1"/>
  <c r="E67" i="15"/>
  <c r="E68" i="15"/>
  <c r="E69" i="15"/>
  <c r="E70" i="15"/>
  <c r="B1" i="4"/>
  <c r="C19" i="16" l="1"/>
  <c r="D14" i="16"/>
  <c r="D19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890132-DBC6-4487-B1AD-9A0B15EBA0FE}" keepAlive="1" name="Consulta - Bank_Only" description="Conexión a la consulta 'Bank_Only' en el libro." type="5" refreshedVersion="8" background="1" saveData="1">
    <dbPr connection="Provider=Microsoft.Mashup.OleDb.1;Data Source=$Workbook$;Location=Bank_Only;Extended Properties=&quot;&quot;" command="SELECT * FROM [Bank_Only]"/>
  </connection>
  <connection id="2" xr16:uid="{007072B9-9528-4DC1-9605-D99B97086DC8}" keepAlive="1" name="Consulta - fnMatching" description="Conexión a la consulta 'fnMatching' en el libro." type="5" refreshedVersion="0" background="1">
    <dbPr connection="Provider=Microsoft.Mashup.OleDb.1;Data Source=$Workbook$;Location=fnMatching;Extended Properties=&quot;&quot;" command="SELECT * FROM [fnMatching]"/>
  </connection>
  <connection id="3" xr16:uid="{BCAF03A8-5E27-4A2D-B377-E3BFE8AD7C2F}" keepAlive="1" name="Consulta - fnStaging_Bank" description="Conexión a la consulta 'fnStaging_Bank' en el libro." type="5" refreshedVersion="0" background="1">
    <dbPr connection="Provider=Microsoft.Mashup.OleDb.1;Data Source=$Workbook$;Location=fnStaging_Bank;Extended Properties=&quot;&quot;" command="SELECT * FROM [fnStaging_Bank]"/>
  </connection>
  <connection id="4" xr16:uid="{B58E9BD3-705D-43E2-BE75-C220A6934283}" keepAlive="1" name="Consulta - fnStaging_GL" description="Conexión a la consulta 'fnStaging_GL' en el libro." type="5" refreshedVersion="0" background="1">
    <dbPr connection="Provider=Microsoft.Mashup.OleDb.1;Data Source=$Workbook$;Location=fnStaging_GL;Extended Properties=&quot;&quot;" command="SELECT * FROM [fnStaging_GL]"/>
  </connection>
  <connection id="5" xr16:uid="{7B63AC59-7692-411C-96F3-57B76617BEF1}" keepAlive="1" name="Consulta - GL_Only" description="Conexión a la consulta 'GL_Only' en el libro." type="5" refreshedVersion="8" background="1" saveData="1">
    <dbPr connection="Provider=Microsoft.Mashup.OleDb.1;Data Source=$Workbook$;Location=GL_Only;Extended Properties=&quot;&quot;" command="SELECT * FROM [GL_Only]"/>
  </connection>
  <connection id="6" xr16:uid="{A565E43B-944D-4D84-A4A0-7EDB2A73A25F}" keepAlive="1" name="Consulta - Parameters" description="Conexión a la consulta 'Parameters' en el libro." type="5" refreshedVersion="0" background="1">
    <dbPr connection="Provider=Microsoft.Mashup.OleDb.1;Data Source=$Workbook$;Location=Parameters;Extended Properties=&quot;&quot;" command="SELECT * FROM [Parameters]"/>
  </connection>
  <connection id="7" xr16:uid="{681120F1-A475-422A-99A9-1235A753C0C0}" keepAlive="1" name="Consulta - Reconciliation_Output" description="Conexión a la consulta 'Reconciliation_Output' en el libro." type="5" refreshedVersion="8" background="1" saveData="1">
    <dbPr connection="Provider=Microsoft.Mashup.OleDb.1;Data Source=$Workbook$;Location=Reconciliation_Output;Extended Properties=&quot;&quot;" command="SELECT * FROM [Reconciliation_Output]"/>
  </connection>
  <connection id="8" xr16:uid="{C57522C4-F3B8-4900-8412-AEC8ADB927C9}" keepAlive="1" name="Consulta - Summary_KPI" description="Conexión a la consulta 'Summary_KPI' en el libro." type="5" refreshedVersion="8" background="1" saveData="1">
    <dbPr connection="Provider=Microsoft.Mashup.OleDb.1;Data Source=$Workbook$;Location=Summary_KPI;Extended Properties=&quot;&quot;" command="SELECT * FROM [Summary_KP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<sst xmlns="http://schemas.openxmlformats.org/spreadsheetml/2006/main" count="860" uniqueCount="501">
  <si>
    <t>Bank Date</t>
  </si>
  <si>
    <t>Value Date</t>
  </si>
  <si>
    <t>Description</t>
  </si>
  <si>
    <t>Reference</t>
  </si>
  <si>
    <t>Debit</t>
  </si>
  <si>
    <t>Credit</t>
  </si>
  <si>
    <t>Balance</t>
  </si>
  <si>
    <t>01/01/2026</t>
  </si>
  <si>
    <t>ACH PAYMENT AMAZON WEB SERVICES</t>
  </si>
  <si>
    <t>ACH99812</t>
  </si>
  <si>
    <t>01/02/2026</t>
  </si>
  <si>
    <t>CLIENT PAYMENT - ACME CORP</t>
  </si>
  <si>
    <t>DEP7711</t>
  </si>
  <si>
    <t>01/03/2026</t>
  </si>
  <si>
    <t>BANK SERVICE FEE</t>
  </si>
  <si>
    <t>FEE001</t>
  </si>
  <si>
    <t>PAYROLL TRANSFER JAN</t>
  </si>
  <si>
    <t>PAY2026</t>
  </si>
  <si>
    <t>01/04/2026</t>
  </si>
  <si>
    <t>WIRE TRANSFER GLOBAL TECH</t>
  </si>
  <si>
    <t>WIRE992</t>
  </si>
  <si>
    <t>01/05/2026</t>
  </si>
  <si>
    <t>CLIENT PAYMENT BETA LLC</t>
  </si>
  <si>
    <t>DEP7712</t>
  </si>
  <si>
    <t>ATM CASH WITHDRAWAL</t>
  </si>
  <si>
    <t>ATM882</t>
  </si>
  <si>
    <t>01/06/2026</t>
  </si>
  <si>
    <t>MONTHLY SUBSCRIPTION MICROSOFT</t>
  </si>
  <si>
    <t>MS4452</t>
  </si>
  <si>
    <t>01/07/2026</t>
  </si>
  <si>
    <t>CLIENT PAYMENT GAMMA INC</t>
  </si>
  <si>
    <t>DEP7713</t>
  </si>
  <si>
    <t>01/08/2026</t>
  </si>
  <si>
    <t>NSF RETURNED ITEM</t>
  </si>
  <si>
    <t>NSF998</t>
  </si>
  <si>
    <t>01/09/2026</t>
  </si>
  <si>
    <t>INTEREST EARNED</t>
  </si>
  <si>
    <t>INT001</t>
  </si>
  <si>
    <t>01/10/2026</t>
  </si>
  <si>
    <t>ACH PAYMENT UBER FOR BUSINESS</t>
  </si>
  <si>
    <t>ACH8821</t>
  </si>
  <si>
    <t>01/11/2026</t>
  </si>
  <si>
    <t>CLIENT PAYMENT ACME CORP</t>
  </si>
  <si>
    <t>DEP7714</t>
  </si>
  <si>
    <t>01/12/2026</t>
  </si>
  <si>
    <t>CHECK #1025</t>
  </si>
  <si>
    <t>CHK1025</t>
  </si>
  <si>
    <t>BANK ADJUSTMENT</t>
  </si>
  <si>
    <t>ADJ551</t>
  </si>
  <si>
    <t>GL Date</t>
  </si>
  <si>
    <t>Journal ID</t>
  </si>
  <si>
    <t>Account</t>
  </si>
  <si>
    <t>Amount</t>
  </si>
  <si>
    <t>JE1001</t>
  </si>
  <si>
    <t>Cash</t>
  </si>
  <si>
    <t>AWS Hosting Payment</t>
  </si>
  <si>
    <t>JE1002</t>
  </si>
  <si>
    <t>Customer Payment ACME</t>
  </si>
  <si>
    <t>JE1003</t>
  </si>
  <si>
    <t>Bank Fees Expense</t>
  </si>
  <si>
    <t>Monthly Bank Fee</t>
  </si>
  <si>
    <t>JE1004</t>
  </si>
  <si>
    <t>Payroll Expense</t>
  </si>
  <si>
    <t>January Payroll</t>
  </si>
  <si>
    <t>JE1005</t>
  </si>
  <si>
    <t>Vendor Payments</t>
  </si>
  <si>
    <t>Global Tech Wire</t>
  </si>
  <si>
    <t>JE1006</t>
  </si>
  <si>
    <t>Customer Payment Beta</t>
  </si>
  <si>
    <t>JE1007</t>
  </si>
  <si>
    <t>Software Expense</t>
  </si>
  <si>
    <t>Microsoft Subscription</t>
  </si>
  <si>
    <t>JE1008</t>
  </si>
  <si>
    <t>Gamma Customer Payment</t>
  </si>
  <si>
    <t>JE1009</t>
  </si>
  <si>
    <t>Accounts Receivable</t>
  </si>
  <si>
    <t>Returned NSF Payment</t>
  </si>
  <si>
    <t>JE1010</t>
  </si>
  <si>
    <t>Interest Income</t>
  </si>
  <si>
    <t>Interest Earned</t>
  </si>
  <si>
    <t>JE1011</t>
  </si>
  <si>
    <t>Travel Expense</t>
  </si>
  <si>
    <t>Uber Business Expense</t>
  </si>
  <si>
    <t>JE1012</t>
  </si>
  <si>
    <t>JE1013</t>
  </si>
  <si>
    <t>Accounts Payable</t>
  </si>
  <si>
    <t>Vendor Check Payment</t>
  </si>
  <si>
    <t>JE1014</t>
  </si>
  <si>
    <t>Misc Expense</t>
  </si>
  <si>
    <t>Adjustment Entry</t>
  </si>
  <si>
    <t>Keyword Bank</t>
  </si>
  <si>
    <t>GL Mapping</t>
  </si>
  <si>
    <t>Category</t>
  </si>
  <si>
    <t>AMAZON</t>
  </si>
  <si>
    <t>IT Expense</t>
  </si>
  <si>
    <t>MICROSOFT</t>
  </si>
  <si>
    <t>SaaS</t>
  </si>
  <si>
    <t>UBER</t>
  </si>
  <si>
    <t>Travel</t>
  </si>
  <si>
    <t>PAYROLL</t>
  </si>
  <si>
    <t>Payroll</t>
  </si>
  <si>
    <t>BANK FEE</t>
  </si>
  <si>
    <t>Banking</t>
  </si>
  <si>
    <t>ACME</t>
  </si>
  <si>
    <t>Revenue</t>
  </si>
  <si>
    <t xml:space="preserve">
You are a Senior Data Analyst and Power Query expert.
I need you to help me build a professional automated bank reconciliation model in Microsoft Excel using Power Query.
I already have these Excel tables:
1. Bank_Statement
2. General_Ledger
3. Reconciliation_Rules
Your task:
- Generate complete Power Query M code.
- The code must be ready to paste directly into Power Query Advanced Editor.
- Explain step-by-step where each query should be created.
- Create separate queries for:
    a) Bank Cleaning
    b) GL Cleaning
    c) Matching Logic
    d) Reconciliation Output
- Use best practices and professional naming conventions.
Requirements:
1. Clean text fields:
   - TRIM
   - CLEAN
   - UPPERCASE
   - Remove extra spaces
2. Create standardized amount columns.
3. Create match keys using:
   - Date
   - Amount
   - Description
4. Build automatic reconciliation logic:
   - Exact Match
   - Partial Match
   - Missing in GL
   - Missing in Bank
   - Variance
5. Include fuzzy matching recommendations.
6. Explain:
   - Why each transformation is needed
   - What each M code section does
7. Generate the final reconciliation table with:
   - Bank Transaction
   - GL Transaction
   - Match Status
   - Difference
   - Aging Days
8. Make the solution scalable for:
   - Multiple bank accounts
   - Monthly reconciliation
   - Future dashboard integration in Power BI
9. Use professional Power Query M syntax only.
10. Add comments inside the M code.
IMPORTANT:
Do not summarize.
Generate FULL production-ready M code.
</t>
  </si>
  <si>
    <t xml:space="preserve">
Eres Analista de Datos Senior y experto en Power Query.
Necesito que me ayudes a construir un modelo profesional automatizado de conciliación bancaria en Microsoft Excel usando Power Query.
Ya tengo estas tablas de Excel:
1. Bank_Statement
2. General_Ledger
3. Reconciliation_Rules
Tu tarea:
- Generar código completo de Power Query M.
- El código debe estar listo para pegarse directamente en Power Query Advanced Editor.
- Explicar paso a paso dónde debe crearse cada consulta.
- Crear consultas separadas para:
    a) Limpieza de bancos
    b) Limpieza GL
    c) Lógica de emparejamiento
    d) Salida de conciliación
- Utilizar las mejores prácticas y convenciones profesionales de nombres.
Requisitos:
1. Campos de texto limpios:
   - TRIM
   - LIMPIO
   - MAYÚSCULAS
   - Eliminar espacios extra
2. Crear columnas de cantidad estandarizadas.
3. Crear claves de coincidencia usando:
   - Fecha
   - Cantidad
   - Descripción
4. Construir lógica de conciliación automática:
   - Coincidencia exacta
   - Partido parcial
   - Desaparecidos en GL
   - Desaparecidos en el banco
   - Varianza
5. Incluye recomendaciones de emparejamiento difuso.
6. Explica:
   - Por qué se necesita cada transformación
   - Qué hace cada sección del código M
7. Generar la tabla final de conciliación con:
   - Transacción bancaria
   - Transacción GL
   - Estado del partido
   - Diferencia
   - Días de envejecimiento
8. Hacer que la solución sea escalable para:
   - Cuentas bancarias múltiples
   - Conciliación mensual
   - Integración futura de paneles en Power BI
9. Utiliza solo la sintaxis profesional de Power Query M.
10. Añadir comentarios dentro del código M.
IMPORTANTE:
No resumas.
Genera código M COMPLETO listo para producción.
</t>
  </si>
  <si>
    <t>Turn #</t>
  </si>
  <si>
    <t>Date</t>
  </si>
  <si>
    <t>User Request</t>
  </si>
  <si>
    <t>Action Taken</t>
  </si>
  <si>
    <t>Details</t>
  </si>
  <si>
    <t>Outcome</t>
  </si>
  <si>
    <t>Analizar el archivo Excel sin modificar nada.</t>
  </si>
  <si>
    <t>Inspección de las 4 hojas (Bank_Statement, General_Ledger, Reconciliation_Rules, Claude_AI_Prompt) y comparación banco vs. GL.</t>
  </si>
  <si>
    <t>Leí rangos usados (Bank A1:G16, GL A1:G15, Rules A1:C7, Prompt A1:C1). Detecté: pago ACME 11/01 con diferencia 4750 vs 4700 (Δ50); ajuste 01/13 banco vs 01/14 GL; NSF tratado como AR en GL. Fechas como texto dd/mm/yyyy; rangos no son Tables.</t>
  </si>
  <si>
    <t>Análisis entregado en chat. Sin escrituras en hojas de datos. Archivo intacto.</t>
  </si>
  <si>
    <t>1. fnStaging_Bank — Limpieza del extracto bancario</t>
  </si>
  <si>
    <t>0. PARÁMETROS GLOBALES (consulta 'Parameters')</t>
  </si>
  <si>
    <t>let
    AmountTolerance = 1.00,
    DateWindowDays  = 3,
    FuzzyThreshold  = 0.80,
    CutoffDate      = Date.From(DateTime.LocalNow()),
    BankAccountId   = "MAIN-001",
    Output = [ AmountTolerance = AmountTolerance,
               DateWindowDays  = DateWindowDays,
               FuzzyThreshold  = FuzzyThreshold,
               CutoffDate      = CutoffDate,
               BankAccountId   = BankAccountId ]
in
    Output</t>
  </si>
  <si>
    <t>2. fnStaging_GL — Limpieza del libro mayor</t>
  </si>
  <si>
    <t>3. fnMatching — Lógica de emparejamiento (exacto + tolerancia + categoría)</t>
  </si>
  <si>
    <t>4. Reconciliation_Output — Salida final (cargar como Tabla)</t>
  </si>
  <si>
    <t>5a. Bank_Only — Movimientos bancarios sin contrapartida</t>
  </si>
  <si>
    <t>let
    Src = Reconciliation_Output,
    Out = Table.SelectRows(Src, each [MatchStatus] = "MISSING_IN_GL")
in
    Out</t>
  </si>
  <si>
    <t>5b. GL_Only — Asientos GL sin movimiento bancario</t>
  </si>
  <si>
    <t>let
    Src = Reconciliation_Output,
    Out = Table.SelectRows(Src, each [MatchStatus] = "MISSING_IN_BANK")
in
    Out</t>
  </si>
  <si>
    <t>5c. Summary_KPI — KPIs por mes y estado (para Power BI)</t>
  </si>
  <si>
    <t>let
    Src = Reconciliation_Output,
    Grouped = Table.Group(Src, {"PeriodMonth","MatchStatus"}, {
        {"Items",         each Table.RowCount(_),         Int64.Type},
        {"BankAmountSum", each List.Sum([BankAmount]),    type number},
        {"GLAmountSum",   each List.Sum([GLAmount]),      type number},
        {"DifferenceSum", each List.Sum([Difference]),    type number},
        {"AvgAgingDays",  each List.Average([AgingDays]), type number}}),
    Sorted = Table.Sort(Grouped, {{"PeriodMonth", Order.Ascending}, {"MatchStatus", Order.Ascending}})
in
    Sorted</t>
  </si>
  <si>
    <t>6. Fuzzy matching (Excel 365 / Power BI)</t>
  </si>
  <si>
    <t>// Sustituye el bloque ExactMerge dentro de fnMatching cuando quieras emparejar
// por similitud de descripcion. Mantén Threshold &gt;= 0.80.
let
    FuzzyJoin = Table.FuzzyNestedJoin(
        Bank, {"DescClean"},
        GL,   {"DescClean"},
        "GL_Fuzzy",
        JoinKind.LeftOuter,
        [
            IgnoreCase          = true,
            IgnoreSpace         = true,
            Threshold           = Parameters[FuzzyThreshold],
            NumberOfMatches     = 1,
            TransformationTable = null   // tabla opcional de sinonimos AMZN-&gt;AMAZON, MSFT-&gt;MICROSOFT
        ])
in
    FuzzyJoin
// Buenas practicas:
// - Aplicar fuzzy SOLO a los registros que quedaron PENDING tras el merge exacto.
// - Construir TransformationTable con sinonimos del negocio (mejora dramatico).
// - Limpiar referencias y numeros embebidos en la descripcion antes de comparar.</t>
  </si>
  <si>
    <t>7. Orden de carga y escalabilidad</t>
  </si>
  <si>
    <t>PASOS EN POWER QUERY:
1. Convierte cada rango a Tabla (Ctrl+T) con los nombres:
   tbl_Bank_Statement, tbl_General_Ledger, tbl_Reconciliation_Rules.
2. Datos -&gt; Iniciar Editor de Power Query.
3. Nueva consulta -&gt; Consulta en blanco -&gt; Editor avanzado -&gt; pega cada bloque:
   Parameters, fnStaging_Bank, fnStaging_GL, fnMatching, Reconciliation_Output,
   Bank_Only, GL_Only, Summary_KPI.
4. Cargar como:
   - Parameters, fnStaging_Bank, fnStaging_GL, fnMatching -&gt; "Solo crear conexion".
   - Reconciliation_Output, Bank_Only, GL_Only, Summary_KPI -&gt; "Tabla" en hoja nueva.
5. Datos -&gt; Actualizar todo.
ESCALABILIDAD:
- Multi-cuenta: cambia BankAccountId en Parameters o reemplaza el Source de
  fnStaging_Bank por Folder.Files para iterar varios CSV/Excel.
- Mensual: PeriodMonth permite filtrar y agregar por mes sin tocar el modelo.
- Power BI: importa el .xlsx; Reconciliation_Output (hechos) + Summary_KPI (resumen)
  + dim_Date enlazada a PeriodMonth.
QUE SE LIMPIO Y POR QUE:
- Text.Clean: elimina caracteres no imprimibles (tab, control) que rompen joins.
- Text.Trim: bordes con espacios invisibles.
- Text.Upper: normaliza caja para comparaciones deterministas.
- Colapso de espacios internos: doble/triple espacio sin valor de negocio.
- AmountSigned: convencion unica de signo entre Banco y GL (Credito - Debito).
- MatchKey: clave compuesta fecha+importe que habilita merges O(N) en lugar de O(N^2).
- Ventana de fecha + tolerancia: cubre diferencias de corte y redondeo
  (caso ACME 4750 vs 4700, ajuste 13 vs 14 enero).</t>
  </si>
  <si>
    <t>Generar código Power Query M completo, listo para producción, para conciliación bancaria automatizada (limpieza Banco/GL, matching exacto+tolerancia, salida con estado/diferencia/aging, escalable a multi-cuenta y Power BI).</t>
  </si>
  <si>
    <t>Creada hoja PowerQuery_M_Code con 10 bloques M: Parameters, fnStaging_Bank, fnStaging_GL, fnMatching, Reconciliation_Output, Bank_Only, GL_Only, Summary_KPI, fuzzy opcional, instrucciones de carga.</t>
  </si>
  <si>
    <t>Diseño: MatchKey=fecha+importe(2dec); Credito-Debito unifica signos; merge exacto + segunda pasada con tolerancia ±1.00 y ventana 3 dias; 5 estados (EXACT/PARTIAL/VARIANCE/MISSING_GL/MISSING_BANK); categoria por keyword desde tbl_Reconciliation_Rules; PeriodMonth para dashboards. Pendiente: convertir rangos a Tablas (tbl_*) antes de pegar el codigo. Prerrequisito: Excel 365 para fuzzy.</t>
  </si>
  <si>
    <t>Codigo entregado en hoja PowerQuery_M_Code (col A, filas 1-30). Datos originales intactos.</t>
  </si>
  <si>
    <t>let
    BankSide = fnMatching,
    GL       = fnStaging_GL,
    // -- Lado banco: seleccionar y renombrar --
    BankPart = Table.SelectColumns(BankSide, {
        "BankAccountId","BankDate","ValueDate","BankDescriptionRaw","BankReferenceRaw",
        "DescClean","RefClean","AmountSigned",
        "GLDateFinal","GLJournalFinal","GLAccountFinal","GLDescCleanFinal","GLAmountFinal",
        "Difference","MatchStatus","Category","AgingDays"}),
    BankRenamed = Table.RenameColumns(BankPart, {
        {"BankDate","BankTransactionDate"}, {"ValueDate","BankValueDate"},
        {"BankDescriptionRaw","BankDescription"}, {"BankReferenceRaw","BankReference"},
        {"DescClean","BankDescriptionNormalized"}, {"RefClean","BankReferenceNormalized"},
        {"AmountSigned","BankAmount"},
        {"GLDateFinal","GLDate"}, {"GLJournalFinal","GLJournalId"},
        {"GLAccountFinal","GLAccount"}, {"GLDescCleanFinal","GLDescriptionNormalized"},
        {"GLAmountFinal","GLAmount"}}),
    // -- Detectar GL ya emparejados: derivar su MatchKey desde fnMatching --
    BankWithKey = Table.AddColumn(BankSide, "GLMatchKey", each
        if [GLDateFinal] &lt;&gt; null and [GLAmountFinal] &lt;&gt; null
        then Date.ToText([GLDateFinal], "yyyy-MM-dd") &amp; "|" &amp;
             Number.ToText(Number.Round([GLAmountFinal], 2), "0.00")
        else null, type nullable text),
    MatchedKeys = List.Distinct(
        List.RemoveNulls(
            Table.Column(BankWithKey, "GLMatchKey"))),
    // -- GL no emparejados → MISSING_IN_BANK --
    GLUnmatched = Table.SelectRows(GL, each not List.Contains(MatchedKeys, [MatchKey])),
    GL1 = Table.AddColumn(GLUnmatched, "MatchStatus", each "MISSING_IN_BANK", type text),
    GL2 = Table.AddColumn(GL1, "Difference", each - ([AmountSigned] ?? 0), type number),
    GL3 = Table.AddColumn(GL2, "Category",   each "Uncategorized", type text),
    GL4 = Table.AddColumn(GL3, "AgingDays",  each Duration.Days(Parameters[CutoffDate] - [GLDate]), Int64.Type),
    GLShaped = Table.SelectColumns(GL4, {
        "BankAccountId","GLDate","GLJournalRaw","GLAccountRaw","GLDescriptionRaw","DescClean",
        "AmountSigned","MatchStatus","Difference","Category","AgingDays"}),
    GLAligned = Table.RenameColumns(GLShaped, {
        {"GLJournalRaw","GLJournalId"}, {"GLAccountRaw","GLAccount"},
        {"GLDescriptionRaw","GLDescription"}, {"DescClean","GLDescriptionNormalized"},
        {"AmountSigned","GLAmount"}}),
    // -- Añadir columnas vacías del lado banco para igualar esquema --
    F1 = Table.AddColumn(GLAligned, "BankTransactionDate",       each null, type nullable date),
    F2 = Table.AddColumn(F1,        "BankValueDate",             each null, type nullable date),
    F3 = Table.AddColumn(F2,        "BankDescription",           each null, type nullable text),
    F4 = Table.AddColumn(F3,        "BankReference",             each null, type nullable text),
    F5 = Table.AddColumn(F4,        "BankDescriptionNormalized", each null, type nullable text),
    F6 = Table.AddColumn(F5,        "BankReferenceNormalized",   each null, type nullable text),
    F7 = Table.AddColumn(F6,        "BankAmount",                each null, type nullable number),
    // -- Reordenar columnas EXACTAMENTE igual al lado banco antes de combinar --
    BankCols  = Table.ColumnNames(BankRenamed),
    GLOrdered = Table.ReorderColumns(F7, BankCols, MissingField.UseNull),
    GLFinal   = Table.SelectColumns(GLOrdered, BankCols, MissingField.UseNull),
    Combined = Table.Combine({BankRenamed, GLFinal}),
    AddPeriod = Table.AddColumn(Combined, "PeriodMonth",
        each let d = [BankTransactionDate] ?? [GLDate]
             in   if d = null then null else Date.StartOfMonth(d),
        type nullable date),
    AddYear   = Table.AddColumn(AddPeriod, "PeriodYear",
        each let d = [BankTransactionDate] ?? [GLDate]
             in   if d = null then null else Date.Year(d),
        Int64.Type),
    Sorted = Table.Sort(AddYear, {
        {"PeriodMonth", Order.Ascending},
        {"BankTransactionDate", Order.Ascending},
        {"MatchStatus", Order.Ascending}})
in
    Sorted</t>
  </si>
  <si>
    <t>Reportó error en Reconciliation_Output durante el match. Solicita revisar el codigo.</t>
  </si>
  <si>
    <t>Reescrita la consulta Reconciliation_Output en PowerQuery_M_Code!A14 (resaltada en crema).</t>
  </si>
  <si>
    <t>Bugs corregidos: (1) extraccion de columna [k] reemplazada por Table.Column sobre variable nombrada BankWithKey; (2) Table.ReorderColumns con MissingField.UseNull antes de Table.Combine para garantizar mismo orden de columnas; (3) tipos nullable en columnas placeholder del lado banco; (4) espacio entre signo negativo y parentesis en Difference. Pendiente: confirmar con el usuario el mensaje exacto de error si el problema persiste.</t>
  </si>
  <si>
    <t>Codigo corregido en PowerQuery_M_Code!A14. Esperando confirmacion del usuario.</t>
  </si>
  <si>
    <t>let
    Source = Excel.CurrentWorkbook(){[Name="tbl_Bank_Statement"]}[Content],
    // 1. Tipos correctos
    ChangeTypes = Table.TransformColumnTypes(Source, {
        {"Bank Date", type text}, {"Value Date", type text},
        {"Description", type text}, {"Reference", type text},
        {"Debit", type number}, {"Credit", type number}, {"Balance", type number}
    }),
    // Parseo robusto de fechas dd/MM/yyyy (cualquier fallo -&gt; null)
    ParseBankDate  = Table.AddColumn(ChangeTypes,  "BankDate",
        each try Date.FromText([Bank Date],  [Format="dd/MM/yyyy", Culture="es-ES"]) otherwise null,
        type nullable date),
    ParseValueDate = Table.AddColumn(ParseBankDate, "ValueDate",
        each try Date.FromText([Value Date], [Format="dd/MM/yyyy", Culture="es-ES"]) otherwise null,
        type nullable date),
    // 2. Limpieza de texto
    CleanDesc = Table.AddColumn(ParseValueDate, "DescClean", each
        let s1 = Text.Clean([Description] ?? ""),
            s2 = Text.Trim(s1),
            s3 = Text.Upper(s2),
            s4 = Text.Combine(List.Select(Text.Split(s3, " "), each _ &lt;&gt; ""), " ")
        in  s4, type text),
    CleanRef = Table.AddColumn(CleanDesc, "RefClean",
        each Text.Upper(Text.Trim(Text.Clean([Reference] ?? ""))), type text),
    // 3. Importe firmado
    AddSignedAmount = Table.AddColumn(CleanRef, "AmountSigned",
        each ([Credit] ?? 0) - ([Debit] ?? 0), type number),
    // 4. Multi-cuenta
    AddSource      = Table.AddColumn(AddSignedAmount, "SourceSystem",  each "BANK", type text),
    AddBankAccount = Table.AddColumn(AddSource,       "BankAccountId", each Parameters[BankAccountId], type text),
    // 5. MatchKey BLINDADA contra null
    AddMatchKey = Table.AddColumn(AddBankAccount, "MatchKey", each
        if [BankDate] = null or [AmountSigned] = null then null
        else Date.ToText([BankDate], "yyyy-MM-dd") &amp; "|" &amp;
             Number.ToText(Number.Round([AmountSigned], 2), "0.00"),
        type nullable text),
    Renamed = Table.RenameColumns(AddMatchKey, {
        {"Description","BankDescriptionRaw"}, {"Reference","BankReferenceRaw"}
    })
in
    Renamed</t>
  </si>
  <si>
    <t>let
    Source = Excel.CurrentWorkbook(){[Name="tbl_General_Ledger"]}[Content],
    ChangeTypes = Table.TransformColumnTypes(Source, {
        {"GL Date", type text}, {"Journal ID", type text},
        {"Account", type text}, {"Description", type text},
        {"Debit", type number}, {"Credit", type number}, {"Amount", type number}
    }),
    ParseGLDate = Table.AddColumn(ChangeTypes, "GLDate",
        each try Date.FromText([GL Date], [Format="dd/MM/yyyy", Culture="es-ES"]) otherwise null,
        type nullable date),
    CleanDesc = Table.AddColumn(ParseGLDate, "DescClean", each
        let s1 = Text.Clean([Description] ?? ""),
            s2 = Text.Trim(s1),
            s3 = Text.Upper(s2),
            s4 = Text.Combine(List.Select(Text.Split(s3, " "), each _ &lt;&gt; ""), " ")
        in  s4, type text),
    CleanAccount = Table.AddColumn(CleanDesc, "AccountClean",
        each Text.Upper(Text.Trim(Text.Clean([Account] ?? ""))), type text),
    CleanJournal = Table.AddColumn(CleanAccount, "JournalIdClean",
        each Text.Upper(Text.Trim([Journal ID] ?? "")), type text),
    AddSignedAmount = Table.AddColumn(CleanJournal, "AmountSigned",
        each if [Amount] &lt;&gt; null then [Amount] else ([Credit] ?? 0) - ([Debit] ?? 0),
        type number),
    AddSource      = Table.AddColumn(AddSignedAmount, "SourceSystem",  each "GL", type text),
    AddBankAccount = Table.AddColumn(AddSource,       "BankAccountId", each Parameters[BankAccountId], type text),
    // MatchKey BLINDADA contra null
    AddMatchKey = Table.AddColumn(AddBankAccount, "MatchKey", each
        if [GLDate] = null or [AmountSigned] = null then null
        else Date.ToText([GLDate], "yyyy-MM-dd") &amp; "|" &amp;
             Number.ToText(Number.Round([AmountSigned], 2), "0.00"),
        type nullable text),
    Renamed = Table.RenameColumns(AddMatchKey, {
        {"Description","GLDescriptionRaw"},
        {"Journal ID","GLJournalRaw"},
        {"Account","GLAccountRaw"}
    })
in
    Renamed</t>
  </si>
  <si>
    <t>let
    Bank  = fnStaging_Bank,
    GL    = fnStaging_GL,
    Rules = Excel.CurrentWorkbook(){[Name="tbl_Reconciliation_Rules"]}[Content],
    Tol   = Parameters[AmountTolerance],
    DWin  = Parameters[DateWindowDays],
    // 1) MERGE EXACTO por MatchKey
    ExactMerge = Table.NestedJoin(Bank, {"MatchKey"}, GL, {"MatchKey"}, "GL_Exact", JoinKind.LeftOuter),
    ExpandExact = Table.ExpandTableColumn(ExactMerge, "GL_Exact",
        {"GLDate","JournalIdClean","AccountClean","DescClean","AmountSigned",
         "GLDescriptionRaw","GLJournalRaw","GLAccountRaw"},
        {"GL_GLDate","GL_JournalId","GL_Account","GL_DescClean","GL_AmountSigned",
         "GL_DescriptionRaw","GL_JournalRaw","GL_AccountRaw"}),
    Classified = Table.AddColumn(ExpandExact, "FirstPassStatus",
        each if [GL_GLDate] &lt;&gt; null then "EXACT_MATCH" else "PENDING", type text),
    // 2) Búsqueda por tolerancia + ventana (acepta nulos sin reventar)
    FindNearGL = (bankDate as nullable date, bankAmt as nullable number) as nullable record =&gt;
        if bankDate = null or bankAmt = null then null
        else
            let Cand = Table.SelectRows(GL, each
                           [GLDate] &lt;&gt; null
                       and [AmountSigned] &lt;&gt; null
                       and Number.Abs([AmountSigned] - bankAmt) &lt;= Tol
                       and Number.Abs(Duration.Days([GLDate] - bankDate)) &lt;= DWin),
                Ord  = Table.Sort(Cand, {
                           {each Number.Abs(Duration.Days([GLDate] - bankDate)), Order.Ascending},
                           {each Number.Abs([AmountSigned] - bankAmt),           Order.Ascending}}),
                Pick = if Table.RowCount(Ord) &gt; 0 then Ord{0} else null
            in  Pick,
    AddNear = Table.AddColumn(Classified, "GL_Near",
        each if [FirstPassStatus] = "PENDING" then FindNearGL([BankDate], [AmountSigned]) else null),
    Near1 = Table.AddColumn(AddNear, "GL_GLDate2",       each if [GL_Near] &lt;&gt; null then [GL_Near][GLDate]         else null, type nullable date),
    Near2 = Table.AddColumn(Near1,   "GL_JournalId2",    each if [GL_Near] &lt;&gt; null then [GL_Near][JournalIdClean] else null, type nullable text),
    Near3 = Table.AddColumn(Near2,   "GL_Account2",      each if [GL_Near] &lt;&gt; null then [GL_Near][AccountClean]   else null, type nullable text),
    Near4 = Table.AddColumn(Near3,   "GL_DescClean2",    each if [GL_Near] &lt;&gt; null then [GL_Near][DescClean]      else null, type nullable text),
    Near5 = Table.AddColumn(Near4,   "GL_AmountSigned2", each if [GL_Near] &lt;&gt; null then [GL_Near][AmountSigned]   else null, type nullable number),
    Cons1 = Table.AddColumn(Near5, "GLDateFinal",      each [GL_GLDate]       ?? [GL_GLDate2],       type nullable date),
    Cons2 = Table.AddColumn(Cons1, "GLJournalFinal",   each [GL_JournalId]    ?? [GL_JournalId2],    type nullable text),
    Cons3 = Table.AddColumn(Cons2, "GLAccountFinal",   each [GL_Account]      ?? [GL_Account2],      type nullable text),
    Cons4 = Table.AddColumn(Cons3, "GLDescCleanFinal", each [GL_DescClean]    ?? [GL_DescClean2],    type nullable text),
    Cons5 = Table.AddColumn(Cons4, "GLAmountFinal",    each [GL_AmountSigned] ?? [GL_AmountSigned2], type nullable number),
    // 3) Categoría por reglas
    RulesPrep = Table.TransformColumns(Rules, {{"Keyword Bank", each Text.Upper(Text.Trim(_ ?? "")), type text}}),
    AddCategory = Table.AddColumn(Cons5, "Category", each
        let d = [DescClean] ?? "",
            m = Table.SelectRows(RulesPrep, (r) =&gt; r[Keyword Bank] &lt;&gt; "" and Text.Contains(d, r[Keyword Bank])),
            c = if Table.RowCount(m) &gt; 0 then m{0}[Category] else "Uncategorized"
        in c, type text),
    // 4) Diferencia y estado (blindados contra nulos)
    AddDiff = Table.AddColumn(AddCategory, "Difference", each
        if [GLAmountFinal] = null then [AmountSigned]
        else ([AmountSigned] ?? 0) - [GLAmountFinal],
        type nullable number),
    AddStatus = Table.AddColumn(AddDiff, "MatchStatus", each
        if [GLAmountFinal] = null                             then "MISSING_IN_GL"
        else if Number.Abs([Difference] ?? 0) = 0             then "EXACT_MATCH"
        else if Number.Abs([Difference] ?? 0) &lt;= Tol          then "PARTIAL_MATCH"
        else                                                       "VARIANCE",
        type text),
    // AgingDays acepta BankDate null
    AddAging = Table.AddColumn(AddStatus, "AgingDays",
        each if [BankDate] = null then null
             else Duration.Days(Parameters[CutoffDate] - [BankDate]),
        Int64.Type),
    Cleaned = Table.RemoveColumns(AddAging, {
        "GL_GLDate","GL_JournalId","GL_Account","GL_DescClean","GL_AmountSigned",
        "GL_DescriptionRaw","GL_JournalRaw","GL_AccountRaw",
        "GL_Near","GL_GLDate2","GL_JournalId2","GL_Account2","GL_DescClean2","GL_AmountSigned2",
        "FirstPassStatus","MatchKey"})
in
    Cleaned</t>
  </si>
  <si>
    <t>Error: Expression.Error We cannot convert the value null to type Date en paso MatchedKey de fnMatching.</t>
  </si>
  <si>
    <t>Reescritas tres consultas en PowerQuery_M_Code para tolerar fechas/importes nulos: fnStaging_Bank (A5), fnStaging_GL (A8), fnMatching (A11). Todas resaltadas en crema.</t>
  </si>
  <si>
    <t>Causa: MatchKey, FindNearGL, Difference y AgingDays operaban sobre fechas/importes que podian venir null. Soluciones: (a) MatchKey guarda null si fecha/importe son null; (b) FindNearGL devuelve null si bankDate o bankAmt son null, y filtra candidatos GL con fecha/importe no nulos; (c) Difference usa coalesce ?? 0; (d) AgingDays retorna null si BankDate es null; (e) tipos cambiados a nullable date/number/text donde corresponde.</t>
  </si>
  <si>
    <t>Codigo corregido en PowerQuery_M_Code A5/A8/A11. Esperando confirmacion de que carga sin errores.</t>
  </si>
  <si>
    <t>BankAccountId</t>
  </si>
  <si>
    <t>BankTransactionDate</t>
  </si>
  <si>
    <t>BankValueDate</t>
  </si>
  <si>
    <t>BankDescription</t>
  </si>
  <si>
    <t>BankReference</t>
  </si>
  <si>
    <t>BankDescriptionNormalized</t>
  </si>
  <si>
    <t>BankReferenceNormalized</t>
  </si>
  <si>
    <t>BankAmount</t>
  </si>
  <si>
    <t>GLDate</t>
  </si>
  <si>
    <t>GLJournalId</t>
  </si>
  <si>
    <t>GLAccount</t>
  </si>
  <si>
    <t>GLDescriptionNormalized</t>
  </si>
  <si>
    <t>GLAmount</t>
  </si>
  <si>
    <t>Difference</t>
  </si>
  <si>
    <t>MatchStatus</t>
  </si>
  <si>
    <t>AgingDays</t>
  </si>
  <si>
    <t>PeriodMonth</t>
  </si>
  <si>
    <t>PeriodYear</t>
  </si>
  <si>
    <t>MAIN-001</t>
  </si>
  <si>
    <t>MISC EXPENSE</t>
  </si>
  <si>
    <t>ADJUSTMENT ENTRY</t>
  </si>
  <si>
    <t>EXACT_MATCH</t>
  </si>
  <si>
    <t>Uncategorized</t>
  </si>
  <si>
    <t>MISSING_IN_BANK</t>
  </si>
  <si>
    <t>CASH</t>
  </si>
  <si>
    <t>AWS HOSTING PAYMENT</t>
  </si>
  <si>
    <t>CUSTOMER PAYMENT ACME</t>
  </si>
  <si>
    <t>BANK FEES EXPENSE</t>
  </si>
  <si>
    <t>MONTHLY BANK FEE</t>
  </si>
  <si>
    <t>PAYROLL EXPENSE</t>
  </si>
  <si>
    <t>JANUARY PAYROLL</t>
  </si>
  <si>
    <t>VENDOR PAYMENTS</t>
  </si>
  <si>
    <t>GLOBAL TECH WIRE</t>
  </si>
  <si>
    <t>CUSTOMER PAYMENT BETA</t>
  </si>
  <si>
    <t>MISSING_IN_GL</t>
  </si>
  <si>
    <t>SOFTWARE EXPENSE</t>
  </si>
  <si>
    <t>MICROSOFT SUBSCRIPTION</t>
  </si>
  <si>
    <t>GAMMA CUSTOMER PAYMENT</t>
  </si>
  <si>
    <t>ACCOUNTS RECEIVABLE</t>
  </si>
  <si>
    <t>RETURNED NSF PAYMENT</t>
  </si>
  <si>
    <t>INTEREST INCOME</t>
  </si>
  <si>
    <t>TRAVEL EXPENSE</t>
  </si>
  <si>
    <t>UBER BUSINESS EXPENSE</t>
  </si>
  <si>
    <t>ACCOUNTS PAYABLE</t>
  </si>
  <si>
    <t>VENDOR CHECK PAYMENT</t>
  </si>
  <si>
    <t>Items</t>
  </si>
  <si>
    <t>BankAmountSum</t>
  </si>
  <si>
    <t>GLAmountSum</t>
  </si>
  <si>
    <t>DifferenceSum</t>
  </si>
  <si>
    <t>AvgAgingDays</t>
  </si>
  <si>
    <t>TREASURY &amp; RECONCILIATION REPORTING — IMPLEMENTATION GUIDE</t>
  </si>
  <si>
    <t>Source of truth: Reconciliation_Output  •  Granularity: per transaction  •  Period: monthly</t>
  </si>
  <si>
    <t>INDEX</t>
  </si>
  <si>
    <t>§1</t>
  </si>
  <si>
    <t>Data Model &amp; Star Schema</t>
  </si>
  <si>
    <t>§2</t>
  </si>
  <si>
    <t>Executive KPI Metrics (15 KPIs)</t>
  </si>
  <si>
    <t>§3</t>
  </si>
  <si>
    <t>Pivot Tables (10 designs)</t>
  </si>
  <si>
    <t>§4</t>
  </si>
  <si>
    <t>Executive Charts</t>
  </si>
  <si>
    <t>§5</t>
  </si>
  <si>
    <t>Dashboard Layout &amp; Formatting</t>
  </si>
  <si>
    <t>§6</t>
  </si>
  <si>
    <t>Advanced Treasury Analytics</t>
  </si>
  <si>
    <t>§7</t>
  </si>
  <si>
    <t>Power Query vs Power Pivot vs Pivot Table</t>
  </si>
  <si>
    <t>§8</t>
  </si>
  <si>
    <t>Power BI Migration</t>
  </si>
  <si>
    <t>AVISO: la hoja 'Summary_KPI ' tiene un espacio al final. Esto rompe referencias en Power Query y fórmulas. Renómbrala a 'Summary_KPI'. Convención: snake_case, sin espacios ni acentos. Recomendadas: fact_Reconciliation, dim_Date, dim_AgingBuckets, dim_Category, dim_BankAccount.</t>
  </si>
  <si>
    <t>§1  DATA MODEL &amp; STAR SCHEMA</t>
  </si>
  <si>
    <t>OBJETIVO: convertir el modelo plano actual (Reconciliation_Output) en un esquema en estrella apto para Pivot Tables, Power Pivot y migración a Power BI.
FACT TABLE
  • fact_Reconciliation  ← Reconciliation_Output (1 fila por transacción)
    Métricas: BankAmount, GLAmount, Difference, AgingDays
    Claves:   BankAccountId, BankTransactionDate, GLDate, Category, MatchStatus
DIMENSION TABLES (crear como tablas Excel separadas o cargar a Power Pivot)
  • dim_Date         → calendario continuo con jerarquía Año&gt;Trimestre&gt;Mes&gt;Semana&gt;Día
  • dim_AgingBuckets → 0-30 / 31-60 / 61-90 / 91-180 / &gt;180 días
  • dim_Category     → catálogo de categorías (desde Reconciliation_Rules + 'Uncategorized')
  • dim_BankAccount  → maestro de cuentas bancarias (escalable a multi-banco)
  • dim_MatchStatus  → catálogo cerrado: EXACT/PARTIAL/VARIANCE/MISSING_GL/MISSING_BANK
RELACIONES (1:N desde dimensión hacia hecho)
  dim_Date[Date]              1—N fact_Reconciliation[BankTransactionDate]   (relación activa)
  dim_Date[Date]              1—N fact_Reconciliation[GLDate]                (inactiva → USERELATIONSHIP)
  dim_AgingBuckets[BucketKey] 1—N fact_Reconciliation[AgingBucket]
  dim_Category[Category]      1—N fact_Reconciliation[Category]
  dim_BankAccount[Id]         1—N fact_Reconciliation[BankAccountId]
  dim_MatchStatus[Status]     1—N fact_Reconciliation[MatchStatus]
NAMING CONVENTION
  fact_*  hechos  |  dim_*  dimensiones  |  m_*  measures DAX  |  q_*  consultas PQ
  Sin espacios. Sin acentos. PascalCase para columnas.</t>
  </si>
  <si>
    <t>COLUMNAS CALCULADAS RECOMENDADAS (en Power Query, NO en la hoja)
  • AgingBucket  = if AgingDays&lt;=30 then '0-30' else if &lt;=60 then '31-60' else if &lt;=90 then '61-90' else if &lt;=180 then '91-180' else '&gt;180'
  • TxnYear      = Date.Year([BankTransactionDate] ?? [GLDate])
  • TxnMonth     = Date.Month(...)
  • TxnWeek      = Date.WeekOfYear(...)
  • TxnQuarter   = Date.QuarterOfYear(...)
  • CashFlowSign = if BankAmount&gt;0 then 'Inflow' else 'Outflow'
  • IsBankFee    = if Category='Bank Fees' then 1 else 0
  • IsHighRisk   = if MatchStatus='VARIANCE' or AgingDays&gt;60 or IsDuplicate=1 then 1 else 0</t>
  </si>
  <si>
    <t>dim_Date — script Power Query (consulta nueva):
let
   Start = #date(2024,1,1),
   End   = #date(2027,12,31),
   N     = Duration.Days(End-Start)+1,
   Dates = List.Dates(Start, N, #duration(1,0,0,0)),
   T     = Table.FromList(Dates, Splitter.SplitByNothing(), {'Date'}),
   Typed = Table.TransformColumnTypes(T, {{'Date', type date}}),
   AddY  = Table.AddColumn(Typed, 'Year',     each Date.Year([Date]),     Int64.Type),
   AddQ  = Table.AddColumn(AddY,  'Quarter',  each 'Q'&amp;Text.From(Date.QuarterOfYear([Date]))),
   AddM  = Table.AddColumn(AddQ,  'MonthNo',  each Date.Month([Date]),    Int64.Type),
   AddMN = Table.AddColumn(AddM,  'MonthName',each Date.ToText([Date],'MMMM','es-ES')),
   AddW  = Table.AddColumn(AddMN, 'WeekNo',   each Date.WeekOfYear([Date]), Int64.Type),
   AddD  = Table.AddColumn(AddW,  'DayName',  each Date.DayOfWeekName([Date],'es-ES')),
   AddPM = Table.AddColumn(AddD,  'PeriodMonth', each Date.StartOfMonth([Date]), type date)
in AddPM
dim_AgingBuckets — tabla manual (Insertar &gt; Tabla):
  BucketKey | BucketLabel | LowDays | HighDays | SortOrder
     1     |   0-30      |    0    |    30    |    1
     2     |  31-60      |   31    |    60    |    2
     3     |  61-90      |   61    |    90    |    3
     4     |  91-180     |   91    |   180    |    4
     5     |  &gt;180       |  181    |  9999    |    5</t>
  </si>
  <si>
    <t>§2  EXECUTIVE KPI METRICS — 15 KPIs</t>
  </si>
  <si>
    <t>#</t>
  </si>
  <si>
    <t>KPI</t>
  </si>
  <si>
    <t>Treasury Meaning</t>
  </si>
  <si>
    <t>Format</t>
  </si>
  <si>
    <t>Total Bank Transactions</t>
  </si>
  <si>
    <t>m_BankTxns := COUNTROWS(FILTER(fact_Reconciliation, NOT ISBLANK([BankTransactionDate])))</t>
  </si>
  <si>
    <t>#,##0</t>
  </si>
  <si>
    <t>—</t>
  </si>
  <si>
    <t>Total GL Transactions</t>
  </si>
  <si>
    <t>m_GLTxns := COUNTROWS(FILTER(fact_Reconciliation, NOT ISBLANK([GLDate])))</t>
  </si>
  <si>
    <t>Verde &gt;90%</t>
  </si>
  <si>
    <t>m_Unmatched := [m_BankTxns]+[m_GLTxns]-2*[m_Matched]</t>
  </si>
  <si>
    <t>Auto Match Rate %</t>
  </si>
  <si>
    <t>Volumen operativo del banco</t>
  </si>
  <si>
    <t>Volumen de asientos contables</t>
  </si>
  <si>
    <t>Movimientos conciliados (Exact + Partial)</t>
  </si>
  <si>
    <t>Total Matched</t>
  </si>
  <si>
    <t>m_Matched := CALCULATE([m_BankTxns], fact[MatchStatus] IN {"EXACT_MATCH","PARTIAL_MATCH"})</t>
  </si>
  <si>
    <t>Total Unmatched</t>
  </si>
  <si>
    <t>Trabajo pendiente</t>
  </si>
  <si>
    <t>Rojo &gt;10</t>
  </si>
  <si>
    <t>Eficiencia del proceso</t>
  </si>
  <si>
    <t>m_AutoMatchRate := DIVIDE([m_Matched], COUNTROWS(fact_Reconciliation))</t>
  </si>
  <si>
    <t>Verde &gt;=95</t>
  </si>
  <si>
    <t>Variance Amount</t>
  </si>
  <si>
    <t>Discrepancias monetarias</t>
  </si>
  <si>
    <t>m_Variance := CALCULATE(SUM(fact[Difference]), fact[MatchStatus]="VARIANCE")</t>
  </si>
  <si>
    <t>$#,##0;($#,##0);-</t>
  </si>
  <si>
    <t>Rojo si grande</t>
  </si>
  <si>
    <t>Outstanding Checks</t>
  </si>
  <si>
    <t>Cheques en GL sin presentar al banco</t>
  </si>
  <si>
    <t>m_OutstandingChecks := CALCULATE(SUM(fact[GLAmount]), fact[MatchStatus]="MISSING_IN_BANK", fact[GLAmount]&lt;0)</t>
  </si>
  <si>
    <t>Watchlist &gt;30d</t>
  </si>
  <si>
    <t>Deposits in Transit</t>
  </si>
  <si>
    <t>Depósitos en GL no acreditados</t>
  </si>
  <si>
    <t>m_DepositsInTransit := CALCULATE(SUM(fact[GLAmount]), fact[MatchStatus]="MISSING_IN_BANK", fact[GLAmount]&gt;0)</t>
  </si>
  <si>
    <t>$#,##0</t>
  </si>
  <si>
    <t>Watchlist &gt;5d</t>
  </si>
  <si>
    <t>Bank Fees</t>
  </si>
  <si>
    <t>Comisiones bancarias</t>
  </si>
  <si>
    <t>m_BankFees := CALCULATE(SUM(fact[BankAmount]), fact[Category]="Bank Fees")</t>
  </si>
  <si>
    <t>MoM trend</t>
  </si>
  <si>
    <t>Cash Inflows</t>
  </si>
  <si>
    <t>Entradas totales</t>
  </si>
  <si>
    <t>m_Inflows := CALCULATE(SUM(fact[BankAmount]), fact[BankAmount]&gt;0)</t>
  </si>
  <si>
    <t>Verde</t>
  </si>
  <si>
    <t>Cash Outflows</t>
  </si>
  <si>
    <t>Salidas totales</t>
  </si>
  <si>
    <t>m_Outflows := CALCULATE(SUM(fact[BankAmount]), fact[BankAmount]&lt;0)</t>
  </si>
  <si>
    <t>Rojo</t>
  </si>
  <si>
    <t>Net Cash Movement</t>
  </si>
  <si>
    <t>Flujo neto del periodo</t>
  </si>
  <si>
    <t>m_NetCash := SUM(fact[BankAmount])</t>
  </si>
  <si>
    <t>Verde &gt;=0</t>
  </si>
  <si>
    <t>Avg Aging Days</t>
  </si>
  <si>
    <t>Antigüedad promedio</t>
  </si>
  <si>
    <t>m_AvgAging := AVERAGE(fact[AgingDays])</t>
  </si>
  <si>
    <t>0.0 "días"</t>
  </si>
  <si>
    <t>Rojo &gt;15</t>
  </si>
  <si>
    <t>Open Reconciling Items</t>
  </si>
  <si>
    <t>Partidas no EXACT_MATCH</t>
  </si>
  <si>
    <t>m_OpenItems := CALCULATE(COUNTROWS(fact), fact[MatchStatus]&lt;&gt;"EXACT_MATCH")</t>
  </si>
  <si>
    <t>SLA &lt;5</t>
  </si>
  <si>
    <t>High Risk Transactions</t>
  </si>
  <si>
    <t>Variance o aging&gt;60</t>
  </si>
  <si>
    <t>m_HighRisk := CALCULATE(COUNTROWS(fact), OR(fact[MatchStatus]="VARIANCE", fact[AgingDays]&gt;60))</t>
  </si>
  <si>
    <t>Rojo &gt;0</t>
  </si>
  <si>
    <t>Excel Formula</t>
  </si>
  <si>
    <t>DAX equivalent</t>
  </si>
  <si>
    <t>Threshold</t>
  </si>
  <si>
    <t>§3  PIVOT TABLES — 10 diseños listos para construir</t>
  </si>
  <si>
    <t>3.1 Reconciliation Summary</t>
  </si>
  <si>
    <t>Fuente:</t>
  </si>
  <si>
    <t>Reconciliation_Output</t>
  </si>
  <si>
    <t>Diseño:</t>
  </si>
  <si>
    <t>Filas: MatchStatus | Valores: Count of MatchStatus (#), Sum of BankAmount ($), Sum of Difference ($)</t>
  </si>
  <si>
    <t>Slicers:</t>
  </si>
  <si>
    <t>Slicers: PeriodMonth, BankAccountId, Category</t>
  </si>
  <si>
    <t>Orden:</t>
  </si>
  <si>
    <t>Ordenar por Count desc</t>
  </si>
  <si>
    <t>Insight:</t>
  </si>
  <si>
    <t>Por qué: vista de 4 estados con volumen y monto. Es la KPI principal de la mesa de tesorería.</t>
  </si>
  <si>
    <t>3.2 Match Status Analysis</t>
  </si>
  <si>
    <t>Filas: Category | Columnas: MatchStatus | Valores: Count of #</t>
  </si>
  <si>
    <t>Slicers: PeriodMonth, BankAccountId</t>
  </si>
  <si>
    <t>Orden Category asc</t>
  </si>
  <si>
    <t>Por qué: detecta categorías con sesgo (p.ej. AMAZON con muchas VARIANCE) → revisar reglas o proveedor.</t>
  </si>
  <si>
    <t>3.3 Variance Analysis</t>
  </si>
  <si>
    <t>Reconciliation_Output (filtrar MatchStatus=VARIANCE)</t>
  </si>
  <si>
    <t>Filas: BankDescription | Valores: Difference (sum), Difference (avg), Count</t>
  </si>
  <si>
    <t>Slicers: Category, PeriodMonth</t>
  </si>
  <si>
    <t>Sum desc</t>
  </si>
  <si>
    <t>Por qué: aísla y rankea las discrepancias por descripción para priorizar investigación.</t>
  </si>
  <si>
    <t>3.4 Cash Flow Analysis</t>
  </si>
  <si>
    <t>Filas: PeriodMonth | Valores: Sum BankAmount (&gt;0)=Inflows, Sum BankAmount (&lt;0)=Outflows, Net</t>
  </si>
  <si>
    <t>Slicers: BankAccountId</t>
  </si>
  <si>
    <t>Crono asc</t>
  </si>
  <si>
    <t>Por qué: alimenta el gráfico Inflow/Outflow/Net y la posición operativa de caja.</t>
  </si>
  <si>
    <t>3.5 Bank Fees Analysis</t>
  </si>
  <si>
    <t>Reconciliation_Output (Category=Bank Fees)</t>
  </si>
  <si>
    <t>Filas: PeriodMonth | Valores: Sum BankAmount, Count</t>
  </si>
  <si>
    <t>Por qué: tendencia mensual; si Δ MoM &gt; +20%, levantar bandera al banco.</t>
  </si>
  <si>
    <t>3.6 Outstanding Items Aging</t>
  </si>
  <si>
    <t>Reconciliation_Output (MatchStatus≠EXACT_MATCH)</t>
  </si>
  <si>
    <t>Filas: AgingBucket (calc col) | Valores: Count, Sum BankAmount, Sum GLAmount</t>
  </si>
  <si>
    <t>Slicers: Category, MatchStatus</t>
  </si>
  <si>
    <t>AgingBucket orden manual 0-7,8-15,16-30,31-60,60+</t>
  </si>
  <si>
    <t>Por qué: SLA del equipo de conciliación. Buckets &gt; 30d = riesgo financiero.</t>
  </si>
  <si>
    <t>3.7 Customer Payment Analysis</t>
  </si>
  <si>
    <t>Reconciliation_Output (BankAmount&gt;0 o Category=Customer)</t>
  </si>
  <si>
    <t>Filas: BankDescriptionNormalized | Valores: Sum BankAmount, Count, AVG AgingDays</t>
  </si>
  <si>
    <t>Slicers: PeriodMonth</t>
  </si>
  <si>
    <t>Sum desc Top 10</t>
  </si>
  <si>
    <t>Por qué: ranking clientes por cobro. Detección de cobros tardíos.</t>
  </si>
  <si>
    <t>3.8 Vendor Payment Analysis</t>
  </si>
  <si>
    <t>Reconciliation_Output (BankAmount&lt;0)</t>
  </si>
  <si>
    <t>Filas: BankDescriptionNormalized | Valores: Sum BankAmount (abs), Count</t>
  </si>
  <si>
    <t>Slicers: Category</t>
  </si>
  <si>
    <t>Por qué: spend por proveedor para gestión de pagos y working capital.</t>
  </si>
  <si>
    <t>3.9 Daily Cash Movement</t>
  </si>
  <si>
    <t>Filas: BankTransactionDate (días) | Valores: Sum BankAmount, Running Total</t>
  </si>
  <si>
    <t>Date asc</t>
  </si>
  <si>
    <t>Por qué: posición diaria de caja. Base para el chart de liquidez.</t>
  </si>
  <si>
    <t>3.10 Monthly Treasury Overview</t>
  </si>
  <si>
    <t>Filas: PeriodMonth | Columnas: MatchStatus | Valores: Sum BankAmount, Count, AVG AgingDays</t>
  </si>
  <si>
    <t>Por qué: panel mensual con todas las métricas en una sola vista para CFO.</t>
  </si>
  <si>
    <t>§4  EXECUTIVE CHARTS — 8 visuales recomendados</t>
  </si>
  <si>
    <t>4.1 Clustered Column — Inflows vs Outflows by Month</t>
  </si>
  <si>
    <t>Fuente / Pivot:</t>
  </si>
  <si>
    <t>Pivot 3.4 Cash Flow</t>
  </si>
  <si>
    <t>Configuración:</t>
  </si>
  <si>
    <t>Comparar entradas y salidas en barras paralelas por mes. Eje X = PeriodMonth; series = Inflows, Outflows.</t>
  </si>
  <si>
    <t>Insight ejecutivo:</t>
  </si>
  <si>
    <t>CFO ve patrón estacional y meses con presión de caja.</t>
  </si>
  <si>
    <t>4.2 Stacked Bar — Match Status Composition</t>
  </si>
  <si>
    <t>Pivot 3.10 Monthly Treasury</t>
  </si>
  <si>
    <t>Barras apiladas por mes con composición de estados (EXACT/PARTIAL/VARIANCE/MISSING). Permite ver tendencia de calidad.</t>
  </si>
  <si>
    <t>Detecta deterioro de calidad de conciliación a tiempo.</t>
  </si>
  <si>
    <t>4.3 Waterfall — Net Cash Build-Up</t>
  </si>
  <si>
    <t>Pivot 3.4 (con detalle por categoría)</t>
  </si>
  <si>
    <t>Saldo inicial → Inflows por categoría (+) → Outflows por categoría (–) → Saldo final.</t>
  </si>
  <si>
    <t>Storytelling clásico de tesorería. Identifica drivers del flujo.</t>
  </si>
  <si>
    <t>4.4 Line Chart — Daily Running Cash</t>
  </si>
  <si>
    <t>Pivot 3.9 Daily Cash + Running Total</t>
  </si>
  <si>
    <t>Línea simple del saldo acumulado diario. Anotaciones en eventos.</t>
  </si>
  <si>
    <t>Permite anticipar overdraft o exceso de caja ociosa.</t>
  </si>
  <si>
    <t>4.5 Donut — Bank Fees by Sub-category</t>
  </si>
  <si>
    <t>Pivot 3.5 + columna calculada de tipo de fee</t>
  </si>
  <si>
    <t>Dona con participación de cada tipo de comisión.</t>
  </si>
  <si>
    <t>Identifica fees evitables (wire vs ACH, etc.).</t>
  </si>
  <si>
    <t>4.6 KPI Cards — 8 tarjetas (ver Dashboard)</t>
  </si>
  <si>
    <t>Fórmulas SECTION 2</t>
  </si>
  <si>
    <t>Tarjetas con número grande + sparkline o flecha vs mes anterior.</t>
  </si>
  <si>
    <t>Resumen ejecutivo de un vistazo (5 segundos).</t>
  </si>
  <si>
    <t>4.7 Heatmap — Variance by Category x Month</t>
  </si>
  <si>
    <t>Pivot 3.2 con formato condicional escala color</t>
  </si>
  <si>
    <t>Tabla densa con magnitud de variances. Rojo = alto, verde = bajo.</t>
  </si>
  <si>
    <t>Detecta hot spots crónicos en categorías específicas.</t>
  </si>
  <si>
    <t>4.8 Aging Bar — Outstanding by Bucket</t>
  </si>
  <si>
    <t>Pivot 3.6 Outstanding Items Aging</t>
  </si>
  <si>
    <t>Barras horizontales por bucket 0-7/8-15/16-30/31-60/60+ con $ y #.</t>
  </si>
  <si>
    <t>Mide SLA del equipo y exposición de partidas viejas.</t>
  </si>
  <si>
    <t>§5  DASHBOARD LAYOUT — Diseño visual profesional</t>
  </si>
  <si>
    <t>Estructura recomendada (página A4 horizontal o pantalla 1920x1080)</t>
  </si>
  <si>
    <t>Top (10-15% alto): franja KPI</t>
  </si>
  <si>
    <t>8 tarjetas KPI en una fila. Fondo blanco, números grandes 24pt, etiqueta 9pt gris. Cada tarjeta = 1 KPI de §2.</t>
  </si>
  <si>
    <t>Top-secundario:</t>
  </si>
  <si>
    <t>Slicers horizontales: BankAccountId, PeriodMonth, Category, MatchStatus (estilo 'Dark' Office).</t>
  </si>
  <si>
    <t>Mid izquierda (40%):</t>
  </si>
  <si>
    <t>Gráfico principal: 4.4 Line chart Running Cash (storyteller número 1).</t>
  </si>
  <si>
    <t>Mid centro (30%):</t>
  </si>
  <si>
    <t>Gráfico 4.1 Clustered Column Inflow/Outflow.</t>
  </si>
  <si>
    <t>Mid derecha (30%):</t>
  </si>
  <si>
    <t>Gráfico 4.5 Donut Bank Fees.</t>
  </si>
  <si>
    <t>Bottom izquierda (50%):</t>
  </si>
  <si>
    <t>Gráfico 4.2 Stacked Bar Match Status + 4.8 Aging Bar abajo.</t>
  </si>
  <si>
    <t>Bottom derecha (50%):</t>
  </si>
  <si>
    <t>Tabla detalle: Top 10 Variance + Top 10 Outstanding (texto rojo, formato condicional).</t>
  </si>
  <si>
    <t>Paleta y tipografía — finance professional</t>
  </si>
  <si>
    <t>Colores principales:</t>
  </si>
  <si>
    <t>Azul corporativo #1F4E78 (titulares), Gris #595959 (texto), Verde #548235 (favorable), Rojo #C00000 (desfavorable), Ámbar #BF8F00 (alerta).</t>
  </si>
  <si>
    <t>Fondo:</t>
  </si>
  <si>
    <t>Blanco #FFFFFF o gris muy claro #F2F2F2. Evitar fondos oscuros para impresión.</t>
  </si>
  <si>
    <t>Segoe UI o Calibri. Títulos 16-20pt bold, KPIs 24-32pt, cuerpo 10-11pt.</t>
  </si>
  <si>
    <t>Bordes:</t>
  </si>
  <si>
    <t>Eliminar gridlines (Vista → desmarcar). Bordes 0.5pt gris en tarjetas KPI.</t>
  </si>
  <si>
    <t>Mejores prácticas:</t>
  </si>
  <si>
    <t>Una sola unidad por dashboard (USD), formato (\$#,##0) en negativos, fecha en cabecera, marca temporal de última actualización, logo arriba izquierda.</t>
  </si>
  <si>
    <t>§6  ADVANCED ANALYTICS — Tesorería avanzada</t>
  </si>
  <si>
    <t>Aging buckets</t>
  </si>
  <si>
    <t>Columna calculada en PQ o Power Pivot: AgingBucket = SWITCH(TRUE, AgingDays&lt;=7,"0-7", AgingDays&lt;=15,"8-15", AgingDays&lt;=30,"16-30", AgingDays&lt;=60,"31-60", "60+"). Tabla dim_AgingBuckets para orden.</t>
  </si>
  <si>
    <t>Risk scoring</t>
  </si>
  <si>
    <t>Score = (Variance ? 3 : 0) + (Aging&gt;30 ? 2 : 0) + (Aging&gt;60 ? 2 : 0) + (Duplicado ? 5 : 0). &gt;=5 = alto, 3-4 = medio, &lt;3 = bajo.</t>
  </si>
  <si>
    <t>Duplicate detection</t>
  </si>
  <si>
    <t>En Power Query: Group By [BankAmount, BankTransactionDate, BankDescriptionNormalized] con Count; donde Count&gt;1 marcar IsDuplicate=true.</t>
  </si>
  <si>
    <t>Variance tolerance logic</t>
  </si>
  <si>
    <t>Ya implementado vía Parameters[AmountTolerance]. Recomendado: además tolerancia % (2% del importe) para grandes operaciones.</t>
  </si>
  <si>
    <t>Daily liquidity trend</t>
  </si>
  <si>
    <t>Running total diario de BankAmount; suavizado con media móvil 7 días para detectar tendencia limpia.</t>
  </si>
  <si>
    <t>Bank fee monitoring</t>
  </si>
  <si>
    <t>Δ MoM% de Bank Fees. Si supera +20% → alerta automática (formato condicional rojo).</t>
  </si>
  <si>
    <t>Cash position forecast</t>
  </si>
  <si>
    <t>Combinar histórico con escenarios: PROYECCIÓN = Saldo actual + sum(forecast_inflows) - sum(forecast_outflows). Construir con FORECAST.ETS si hay &gt;18 meses de historia.</t>
  </si>
  <si>
    <t>Exception reporting</t>
  </si>
  <si>
    <t>Vista filtrada: MatchStatus=VARIANCE OR AgingDays&gt;60 OR IsDuplicate=true OR |Difference|&gt;tolerance. Auto-email vía Office Scripts/Power Automate.</t>
  </si>
  <si>
    <t>§7  POWER QUERY vs DAX vs PIVOT — Dónde poner cada cálculo</t>
  </si>
  <si>
    <t>Regla general</t>
  </si>
  <si>
    <t>Power Query (M):</t>
  </si>
  <si>
    <t>Transformaciones que dependen de la FILA: limpieza, parseo de fechas, MatchKey, MatchStatus, Difference, Category. Se calculan una vez al refresh y se cachean.</t>
  </si>
  <si>
    <t>DAX (Power Pivot):</t>
  </si>
  <si>
    <t>Agregaciones dinámicas que dependen del FILTRO: KPIs como Auto Match Rate, Net Cash, totales por slicer, MoM%, YTD, running totals. Cambian con cada interacción.</t>
  </si>
  <si>
    <t>Pivot calculations:</t>
  </si>
  <si>
    <t>Sólo si no usas Power Pivot (modelo plano). Cálculos %Show As, Running Total in. Limitado, prefiere DAX si tienes el modelo.</t>
  </si>
  <si>
    <t>Anti-patrón:</t>
  </si>
  <si>
    <t>NUNCA calcules ratios o %s en Power Query a nivel fila — se rompen al agregar. Mantén PQ a nivel transacción; agrega y razona en DAX/Pivot.</t>
  </si>
  <si>
    <t>§8  POWER BI READINESS — Migración a Power BI</t>
  </si>
  <si>
    <t>Star schema recomendado</t>
  </si>
  <si>
    <t>Hechos (1):</t>
  </si>
  <si>
    <t>fact_Reconciliation (= Reconciliation_Output) — grano: una fila por transacción banco o asiento GL conciliado.</t>
  </si>
  <si>
    <t>Dim_Date:</t>
  </si>
  <si>
    <t>Generar con CALENDARAUTO() o tabla M. Relación 1:* a fact[BankTransactionDate] (activa) y a fact[GLDate] (USERELATIONSHIP en medidas específicas).</t>
  </si>
  <si>
    <t>Dim_BankAccount:</t>
  </si>
  <si>
    <t>Maestro de cuentas (id, nombre banco, divisa, tipo). Relación 1:* a fact[BankAccountId].</t>
  </si>
  <si>
    <t>Dim_Category:</t>
  </si>
  <si>
    <t>Snapshot de Reconciliation_Rules (Keyword, Category, Sub-Category, GL Account preferida). 1:* a fact[Category].</t>
  </si>
  <si>
    <t>Dim_MatchStatus:</t>
  </si>
  <si>
    <t>Tabla pequeña: Status, Order, Color. Para sort y theming consistente.</t>
  </si>
  <si>
    <t>Dim_AgingBuckets:</t>
  </si>
  <si>
    <t>Bucket, Min, Max, Sort Order. Permite ordenar 0-7 → 60+ correctamente.</t>
  </si>
  <si>
    <t>DAX measures imprescindibles</t>
  </si>
  <si>
    <t>[m_BankTxns]</t>
  </si>
  <si>
    <t>COUNTROWS(FILTER(fact_Reconciliation, NOT ISBLANK(fact_Reconciliation[BankTransactionDate])))</t>
  </si>
  <si>
    <t>[m_Matched]</t>
  </si>
  <si>
    <t>CALCULATE(COUNTROWS(fact_Reconciliation), fact_Reconciliation[MatchStatus] IN {"EXACT_MATCH","PARTIAL_MATCH"})</t>
  </si>
  <si>
    <t>[m_AutoMatchRate]</t>
  </si>
  <si>
    <t>DIVIDE([m_Matched], COUNTROWS(fact_Reconciliation))</t>
  </si>
  <si>
    <t>[m_NetCash]</t>
  </si>
  <si>
    <t>SUM(fact_Reconciliation[BankAmount])</t>
  </si>
  <si>
    <t>[m_NetCash_MoM%]</t>
  </si>
  <si>
    <t>DIVIDE([m_NetCash] - CALCULATE([m_NetCash], DATEADD(dim_Date[Date], -1, MONTH)), CALCULATE([m_NetCash], DATEADD(dim_Date[Date], -1, MONTH)))</t>
  </si>
  <si>
    <t>[m_RunningCash]</t>
  </si>
  <si>
    <t>CALCULATE([m_NetCash], FILTER(ALLSELECTED(dim_Date[Date]), dim_Date[Date] &lt;= MAX(dim_Date[Date])))</t>
  </si>
  <si>
    <t>[m_Variance$]</t>
  </si>
  <si>
    <t>CALCULATE(SUM(fact_Reconciliation[Difference]), fact_Reconciliation[MatchStatus]="VARIANCE")</t>
  </si>
  <si>
    <t>[m_AvgAging]</t>
  </si>
  <si>
    <t>AVERAGE(fact_Reconciliation[AgingDays])</t>
  </si>
  <si>
    <t>[m_HighRiskCount]</t>
  </si>
  <si>
    <t>CALCULATE(COUNTROWS(fact_Reconciliation), OR(fact_Reconciliation[MatchStatus]="VARIANCE", fact_Reconciliation[AgingDays]&gt;60))</t>
  </si>
  <si>
    <t>Estrategia de migración</t>
  </si>
  <si>
    <t>1. Conectar Power BI Desktop al .xlsx (Get Data → Excel Workbook). El M existente se reutiliza al 100%.</t>
  </si>
  <si>
    <t>2. Mover Parameters a 'Manage Parameters' nativo de Power BI.</t>
  </si>
  <si>
    <t>3. Recrear dim_Date con CALENDARAUTO() y marcar como tabla de fechas.</t>
  </si>
  <si>
    <t>4. Crear las dimensiones (BankAccount, Category, MatchStatus, AgingBuckets).</t>
  </si>
  <si>
    <t>5. Definir relaciones (modelo en estrella, single direction, una activa por par).</t>
  </si>
  <si>
    <t>6. Migrar KPIs como measures DAX (organizar en una tabla _Measures vacía con 📊 icono).</t>
  </si>
  <si>
    <t>7. Replicar el layout del dashboard usando: KPI visual, Line chart, Clustered column, Stacked bar, Donut, Matrix, Slicers.</t>
  </si>
  <si>
    <t>8. Publicar al servicio Power BI; configurar Gateway si los archivos viven on-premises; programar refresh.</t>
  </si>
  <si>
    <t>9. Row-Level Security: si hay varias empresas/cuentas, filtrar dim_BankAccount[Company] por usuario.</t>
  </si>
  <si>
    <t>TREASURY EXECUTIVE DASHBOARD — Bank Reconciliation</t>
  </si>
  <si>
    <t>Source: Reconciliation_Output | Last refresh: live formulas</t>
  </si>
  <si>
    <t>Total Bank Txns</t>
  </si>
  <si>
    <t>Total GL Txns</t>
  </si>
  <si>
    <t>Matched</t>
  </si>
  <si>
    <t>Unmatched</t>
  </si>
  <si>
    <t>Variance $</t>
  </si>
  <si>
    <t>Match Status Breakdown</t>
  </si>
  <si>
    <t>Status</t>
  </si>
  <si>
    <t>Count</t>
  </si>
  <si>
    <t>% of Total</t>
  </si>
  <si>
    <t>Sum BankAmount</t>
  </si>
  <si>
    <t>PARTIAL_MATCH</t>
  </si>
  <si>
    <t>VARIANCE</t>
  </si>
  <si>
    <t>TOTAL</t>
  </si>
  <si>
    <t>Category Breakdown</t>
  </si>
  <si>
    <t>Notas: este dashboard usa fórmulas estructuradas contra la tabla Reconciliation_Output. Si la tabla aún no existe (Power Query no se cargó como Tabla), las celdas mostrarán #REF!. Convertir el output de PQ a 'Tabla' al cargar lo soluciona.</t>
  </si>
  <si>
    <t>Other expenses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</si>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</sst>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&quot;$&quot;#,##0;\(&quot;$&quot;#,##0\);\-"/>
    <numFmt numFmtId="168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onsolas"/>
      <family val="3"/>
    </font>
    <font>
      <b/>
      <sz val="1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onsolas"/>
      <family val="3"/>
    </font>
    <font>
      <b/>
      <sz val="22"/>
      <color rgb="FF1F4E7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6"/>
      <color rgb="FF1F4E7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2" borderId="0" xfId="0" applyFont="1" applyFill="1"/>
    <xf numFmtId="14" fontId="0" fillId="0" borderId="0" xfId="0" applyNumberFormat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5" fillId="3" borderId="0" xfId="0" applyFont="1" applyFill="1"/>
    <xf numFmtId="0" fontId="6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1" fillId="7" borderId="0" xfId="0" applyFont="1" applyFill="1" applyAlignment="1">
      <alignment wrapText="1"/>
    </xf>
    <xf numFmtId="0" fontId="14" fillId="0" borderId="0" xfId="0" applyFont="1" applyAlignment="1">
      <alignment vertical="top" wrapText="1"/>
    </xf>
    <xf numFmtId="10" fontId="14" fillId="0" borderId="0" xfId="0" applyNumberFormat="1" applyFont="1" applyAlignment="1">
      <alignment vertical="top" wrapText="1"/>
    </xf>
    <xf numFmtId="0" fontId="8" fillId="0" borderId="0" xfId="0" applyFont="1"/>
    <xf numFmtId="0" fontId="15" fillId="0" borderId="0" xfId="0" applyFont="1"/>
    <xf numFmtId="164" fontId="0" fillId="0" borderId="0" xfId="0" applyNumberFormat="1"/>
    <xf numFmtId="165" fontId="0" fillId="0" borderId="0" xfId="0" applyNumberFormat="1"/>
    <xf numFmtId="0" fontId="4" fillId="11" borderId="0" xfId="0" applyFont="1" applyFill="1"/>
    <xf numFmtId="164" fontId="4" fillId="11" borderId="0" xfId="0" applyNumberFormat="1" applyFont="1" applyFill="1"/>
    <xf numFmtId="165" fontId="4" fillId="11" borderId="0" xfId="0" applyNumberFormat="1" applyFont="1" applyFill="1"/>
    <xf numFmtId="0" fontId="0" fillId="0" borderId="0" xfId="0"/>
    <xf numFmtId="0" fontId="18" fillId="8" borderId="1" xfId="0" applyFont="1" applyFill="1" applyBorder="1" applyAlignment="1">
      <alignment horizontal="center"/>
    </xf>
    <xf numFmtId="0" fontId="5" fillId="3" borderId="0" xfId="0" applyFont="1" applyFill="1"/>
    <xf numFmtId="0" fontId="3" fillId="0" borderId="0" xfId="0" applyFont="1"/>
    <xf numFmtId="0" fontId="17" fillId="10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6" fillId="0" borderId="0" xfId="0" applyFont="1"/>
    <xf numFmtId="0" fontId="17" fillId="9" borderId="0" xfId="0" applyFont="1" applyFill="1" applyAlignment="1">
      <alignment horizontal="center"/>
    </xf>
    <xf numFmtId="0" fontId="4" fillId="2" borderId="0" xfId="0" applyFont="1" applyFill="1"/>
    <xf numFmtId="0" fontId="12" fillId="3" borderId="0" xfId="0" applyFont="1" applyFill="1"/>
    <xf numFmtId="0" fontId="4" fillId="0" borderId="0" xfId="0" applyFont="1"/>
    <xf numFmtId="0" fontId="1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0" fillId="6" borderId="0" xfId="0" applyFont="1" applyFill="1" applyAlignment="1">
      <alignment vertical="top" wrapText="1"/>
    </xf>
    <xf numFmtId="0" fontId="7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/>
    <xf numFmtId="168" fontId="18" fillId="8" borderId="1" xfId="1" applyNumberFormat="1" applyFont="1" applyFill="1" applyBorder="1" applyAlignment="1">
      <alignment horizontal="center"/>
    </xf>
    <xf numFmtId="168" fontId="0" fillId="0" borderId="0" xfId="1" applyNumberFormat="1" applyFont="1"/>
  </cellXfs>
  <cellStyles count="2">
    <cellStyle name="Moneda" xfId="1" builtinId="4"/>
    <cellStyle name="Normal" xfId="0" builtinId="0"/>
  </cellStyles>
  <dxfs count="47"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F2104B93-AAA2-4EEE-B2D8-83D103275EB6}" autoFormatId="16" applyNumberFormats="0" applyBorderFormats="0" applyFontFormats="0" applyPatternFormats="0" applyAlignmentFormats="0" applyWidthHeightFormats="0">
  <queryTableRefresh nextId="20">
    <queryTableFields count="19">
      <queryTableField id="1" name="BankAccountId" tableColumnId="1"/>
      <queryTableField id="2" name="BankTransactionDate" tableColumnId="2"/>
      <queryTableField id="3" name="BankValueDate" tableColumnId="3"/>
      <queryTableField id="4" name="BankDescription" tableColumnId="4"/>
      <queryTableField id="5" name="BankReference" tableColumnId="5"/>
      <queryTableField id="6" name="BankDescriptionNormalized" tableColumnId="6"/>
      <queryTableField id="7" name="BankReferenceNormalized" tableColumnId="7"/>
      <queryTableField id="8" name="BankAmount" tableColumnId="8"/>
      <queryTableField id="9" name="GLDate" tableColumnId="9"/>
      <queryTableField id="10" name="GLJournalId" tableColumnId="10"/>
      <queryTableField id="11" name="GLAccount" tableColumnId="11"/>
      <queryTableField id="12" name="GLDescriptionNormalized" tableColumnId="12"/>
      <queryTableField id="13" name="GLAmount" tableColumnId="13"/>
      <queryTableField id="14" name="Difference" tableColumnId="14"/>
      <queryTableField id="15" name="MatchStatus" tableColumnId="15"/>
      <queryTableField id="16" name="Category" tableColumnId="16"/>
      <queryTableField id="17" name="AgingDays" tableColumnId="17"/>
      <queryTableField id="18" name="PeriodMonth" tableColumnId="18"/>
      <queryTableField id="19" name="PeriodYear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EB3DF7-5474-4124-B0F9-3812D64A71F5}" autoFormatId="16" applyNumberFormats="0" applyBorderFormats="0" applyFontFormats="0" applyPatternFormats="0" applyAlignmentFormats="0" applyWidthHeightFormats="0">
  <queryTableRefresh nextId="20">
    <queryTableFields count="19">
      <queryTableField id="1" name="BankAccountId" tableColumnId="1"/>
      <queryTableField id="2" name="BankTransactionDate" tableColumnId="2"/>
      <queryTableField id="3" name="BankValueDate" tableColumnId="3"/>
      <queryTableField id="4" name="BankDescription" tableColumnId="4"/>
      <queryTableField id="5" name="BankReference" tableColumnId="5"/>
      <queryTableField id="6" name="BankDescriptionNormalized" tableColumnId="6"/>
      <queryTableField id="7" name="BankReferenceNormalized" tableColumnId="7"/>
      <queryTableField id="8" name="BankAmount" tableColumnId="8"/>
      <queryTableField id="9" name="GLDate" tableColumnId="9"/>
      <queryTableField id="10" name="GLJournalId" tableColumnId="10"/>
      <queryTableField id="11" name="GLAccount" tableColumnId="11"/>
      <queryTableField id="12" name="GLDescriptionNormalized" tableColumnId="12"/>
      <queryTableField id="13" name="GLAmount" tableColumnId="13"/>
      <queryTableField id="14" name="Difference" tableColumnId="14"/>
      <queryTableField id="15" name="MatchStatus" tableColumnId="15"/>
      <queryTableField id="16" name="Category" tableColumnId="16"/>
      <queryTableField id="17" name="AgingDays" tableColumnId="17"/>
      <queryTableField id="18" name="PeriodMonth" tableColumnId="18"/>
      <queryTableField id="19" name="PeriodYear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487390F9-D6E6-409F-832B-36DD7DA77528}" autoFormatId="16" applyNumberFormats="0" applyBorderFormats="0" applyFontFormats="0" applyPatternFormats="0" applyAlignmentFormats="0" applyWidthHeightFormats="0">
  <queryTableRefresh nextId="8">
    <queryTableFields count="7">
      <queryTableField id="1" name="PeriodMonth" tableColumnId="1"/>
      <queryTableField id="2" name="MatchStatus" tableColumnId="2"/>
      <queryTableField id="3" name="Items" tableColumnId="3"/>
      <queryTableField id="4" name="BankAmountSum" tableColumnId="4"/>
      <queryTableField id="5" name="GLAmountSum" tableColumnId="5"/>
      <queryTableField id="6" name="DifferenceSum" tableColumnId="6"/>
      <queryTableField id="7" name="AvgAgingDay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1AF16CE3-07E1-4F25-A836-293A9D7418A1}" autoFormatId="16" applyNumberFormats="0" applyBorderFormats="0" applyFontFormats="0" applyPatternFormats="0" applyAlignmentFormats="0" applyWidthHeightFormats="0">
  <queryTableRefresh nextId="20">
    <queryTableFields count="19">
      <queryTableField id="1" name="BankAccountId" tableColumnId="1"/>
      <queryTableField id="2" name="BankTransactionDate" tableColumnId="2"/>
      <queryTableField id="3" name="BankValueDate" tableColumnId="3"/>
      <queryTableField id="4" name="BankDescription" tableColumnId="4"/>
      <queryTableField id="5" name="BankReference" tableColumnId="5"/>
      <queryTableField id="6" name="BankDescriptionNormalized" tableColumnId="6"/>
      <queryTableField id="7" name="BankReferenceNormalized" tableColumnId="7"/>
      <queryTableField id="8" name="BankAmount" tableColumnId="8"/>
      <queryTableField id="9" name="GLDate" tableColumnId="9"/>
      <queryTableField id="10" name="GLJournalId" tableColumnId="10"/>
      <queryTableField id="11" name="GLAccount" tableColumnId="11"/>
      <queryTableField id="12" name="GLDescriptionNormalized" tableColumnId="12"/>
      <queryTableField id="13" name="GLAmount" tableColumnId="13"/>
      <queryTableField id="14" name="Difference" tableColumnId="14"/>
      <queryTableField id="15" name="MatchStatus" tableColumnId="15"/>
      <queryTableField id="16" name="Category" tableColumnId="16"/>
      <queryTableField id="17" name="AgingDays" tableColumnId="17"/>
      <queryTableField id="18" name="PeriodMonth" tableColumnId="18"/>
      <queryTableField id="19" name="PeriodYear" tableColumnId="19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33D59-4BAB-4819-A579-7D7A5FF7AB9E}" name="tbl_Bank_Statement" displayName="tbl_Bank_Statement" ref="A1:G17" totalsRowShown="0" headerRowDxfId="46">
  <autoFilter ref="A1:G17" xr:uid="{78E33D59-4BAB-4819-A579-7D7A5FF7AB9E}"/>
  <tableColumns count="7">
    <tableColumn id="1" xr3:uid="{F412EBBD-FEF3-4FAF-9571-F175CD7507AC}" name="Bank Date"/>
    <tableColumn id="2" xr3:uid="{36B5B47E-2FF4-454F-BC46-38BB87191B16}" name="Value Date"/>
    <tableColumn id="3" xr3:uid="{2D134828-A7A4-417A-BC03-8D86B4A5A6C5}" name="Description"/>
    <tableColumn id="4" xr3:uid="{EAB45CA7-A2F1-4904-BFDB-8CF6D2CFA40E}" name="Reference"/>
    <tableColumn id="5" xr3:uid="{CFEAF20F-B653-4306-A78A-69D53D37703C}" name="Debit"/>
    <tableColumn id="6" xr3:uid="{E5514498-AE62-449F-88DA-FB067FAE08AD}" name="Credit"/>
    <tableColumn id="7" xr3:uid="{301B3E04-8418-46BA-9D6B-2A92DA1204A3}" name="Balan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B858E-E631-4545-8562-E24AAFFBC1B9}" name="tbl_General_Ledger" displayName="tbl_General_Ledger" ref="A1:G15" totalsRowShown="0" headerRowDxfId="45">
  <autoFilter ref="A1:G15" xr:uid="{412B858E-E631-4545-8562-E24AAFFBC1B9}"/>
  <tableColumns count="7">
    <tableColumn id="1" xr3:uid="{0299AD76-F654-41C2-9E9E-CD00BB038109}" name="GL Date"/>
    <tableColumn id="2" xr3:uid="{47B865D0-0842-42EB-8A5B-F6FED3110158}" name="Journal ID"/>
    <tableColumn id="3" xr3:uid="{90B858A1-C5E2-4008-9D35-967B916F8AFD}" name="Account"/>
    <tableColumn id="4" xr3:uid="{8C702955-87B3-4C5E-8C32-ECDBFA3C57AA}" name="Description"/>
    <tableColumn id="5" xr3:uid="{6E2FD7E5-7092-44D5-BE4C-CF636445DBD9}" name="Debit"/>
    <tableColumn id="6" xr3:uid="{61B690DA-A82F-4194-AA90-B95B4BAB7F32}" name="Credit"/>
    <tableColumn id="7" xr3:uid="{1B001CE5-C859-4694-B325-0B13CB2084AC}" name="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2829F9-AF08-427B-9589-F1E816FB663F}" name="tbl_Reconciliation_Rules" displayName="tbl_Reconciliation_Rules" ref="A1:C8" totalsRowShown="0" headerRowDxfId="44">
  <autoFilter ref="A1:C8" xr:uid="{242829F9-AF08-427B-9589-F1E816FB663F}"/>
  <tableColumns count="3">
    <tableColumn id="1" xr3:uid="{17016748-DFDA-4CE2-A6C2-84C67F14CE45}" name="Keyword Bank"/>
    <tableColumn id="2" xr3:uid="{1644981A-7CF4-47EC-B6E0-045241A8DF05}" name="GL Mapping"/>
    <tableColumn id="3" xr3:uid="{782BF8BE-CFAE-42DC-8389-F4980BA89AFE}" name="Catego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65A439-9101-4B11-9E44-DB485397542F}" name="Reconciliation_Output" displayName="Reconciliation_Output" ref="A1:S18" tableType="queryTable" totalsRowShown="0">
  <autoFilter ref="A1:S18" xr:uid="{9F65A439-9101-4B11-9E44-DB485397542F}"/>
  <tableColumns count="19">
    <tableColumn id="1" xr3:uid="{AC075FA2-1BD4-4C9A-955A-F0F2BA736931}" uniqueName="1" name="BankAccountId" queryTableFieldId="1" dataDxfId="19"/>
    <tableColumn id="2" xr3:uid="{B381B147-4BF1-4FA4-8098-A1233913FE29}" uniqueName="2" name="BankTransactionDate" queryTableFieldId="2" dataDxfId="18"/>
    <tableColumn id="3" xr3:uid="{E6EA6428-7E56-46A9-8B7C-BFB25543DDD0}" uniqueName="3" name="BankValueDate" queryTableFieldId="3" dataDxfId="17"/>
    <tableColumn id="4" xr3:uid="{459979A1-DD9A-4604-B621-A0ACAE0D81F9}" uniqueName="4" name="BankDescription" queryTableFieldId="4" dataDxfId="16"/>
    <tableColumn id="5" xr3:uid="{C5F394EB-AA21-4D99-95E4-E6FE99060E4D}" uniqueName="5" name="BankReference" queryTableFieldId="5" dataDxfId="15"/>
    <tableColumn id="6" xr3:uid="{F4D3669E-9B80-4425-BAE3-741FD9D95753}" uniqueName="6" name="BankDescriptionNormalized" queryTableFieldId="6" dataDxfId="14"/>
    <tableColumn id="7" xr3:uid="{61383D87-9D78-45A5-8BFE-A92EB7FE4941}" uniqueName="7" name="BankReferenceNormalized" queryTableFieldId="7" dataDxfId="13"/>
    <tableColumn id="8" xr3:uid="{3081B590-6D40-4EB4-B95C-DA5CF8F34CE3}" uniqueName="8" name="BankAmount" queryTableFieldId="8"/>
    <tableColumn id="9" xr3:uid="{266A002C-8773-4756-8F77-E2ADDCA0DAB8}" uniqueName="9" name="GLDate" queryTableFieldId="9" dataDxfId="12"/>
    <tableColumn id="10" xr3:uid="{E941D863-65D2-4179-A28F-1CC911C07B2B}" uniqueName="10" name="GLJournalId" queryTableFieldId="10" dataDxfId="11"/>
    <tableColumn id="11" xr3:uid="{46282675-5EA5-41E9-9D9B-21CBA7781002}" uniqueName="11" name="GLAccount" queryTableFieldId="11" dataDxfId="10"/>
    <tableColumn id="12" xr3:uid="{AF5AFED3-002E-4EE2-8F8C-025B90062AD8}" uniqueName="12" name="GLDescriptionNormalized" queryTableFieldId="12" dataDxfId="9"/>
    <tableColumn id="13" xr3:uid="{E1C142DB-8A18-432B-B189-565E08A75923}" uniqueName="13" name="GLAmount" queryTableFieldId="13"/>
    <tableColumn id="14" xr3:uid="{674F36BA-4B17-46C6-BB70-60B6A995306F}" uniqueName="14" name="Difference" queryTableFieldId="14"/>
    <tableColumn id="15" xr3:uid="{A857EE6D-A79E-458F-B2AB-592F3DC5FCA8}" uniqueName="15" name="MatchStatus" queryTableFieldId="15" dataDxfId="8"/>
    <tableColumn id="16" xr3:uid="{349D25A6-4200-4684-9B9B-15CF6F594D43}" uniqueName="16" name="Category" queryTableFieldId="16" dataDxfId="7"/>
    <tableColumn id="17" xr3:uid="{8B8F9217-B2DA-480B-B5F3-2D8EE3849FCD}" uniqueName="17" name="AgingDays" queryTableFieldId="17"/>
    <tableColumn id="18" xr3:uid="{707A61A5-AAC8-4D6D-9BD1-7E268731C316}" uniqueName="18" name="PeriodMonth" queryTableFieldId="18" dataDxfId="6"/>
    <tableColumn id="19" xr3:uid="{C9AFAD96-1DC2-4CBE-9B1D-F0C0938697FA}" uniqueName="19" name="PeriodYear" queryTableFieldId="1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5FD463-6153-448E-884E-6EE5A13EECDD}" name="Bank_Only" displayName="Bank_Only" ref="A1:S4" tableType="queryTable" totalsRowShown="0">
  <autoFilter ref="A1:S4" xr:uid="{465FD463-6153-448E-884E-6EE5A13EECDD}"/>
  <tableColumns count="19">
    <tableColumn id="1" xr3:uid="{70F40E71-9BCC-44A5-AAFA-9DAC01255802}" uniqueName="1" name="BankAccountId" queryTableFieldId="1" dataDxfId="33"/>
    <tableColumn id="2" xr3:uid="{B37CE2F4-B0B2-4F1E-888A-B0BB61FA4A33}" uniqueName="2" name="BankTransactionDate" queryTableFieldId="2" dataDxfId="32"/>
    <tableColumn id="3" xr3:uid="{4C9F4C2D-D03D-4487-9CC5-2C1BFD0C3C2A}" uniqueName="3" name="BankValueDate" queryTableFieldId="3" dataDxfId="31"/>
    <tableColumn id="4" xr3:uid="{36CA6E74-B752-4CCD-B1E6-E5A1DD872D2D}" uniqueName="4" name="BankDescription" queryTableFieldId="4" dataDxfId="30"/>
    <tableColumn id="5" xr3:uid="{137EC87A-C7E3-42F5-9BCA-3CA53DA91F52}" uniqueName="5" name="BankReference" queryTableFieldId="5" dataDxfId="29"/>
    <tableColumn id="6" xr3:uid="{F68B2F0A-A59D-4539-BF1F-42595E9DFCF3}" uniqueName="6" name="BankDescriptionNormalized" queryTableFieldId="6" dataDxfId="28"/>
    <tableColumn id="7" xr3:uid="{59BF782D-03DF-4BAC-A0DA-A92CE268A5F4}" uniqueName="7" name="BankReferenceNormalized" queryTableFieldId="7" dataDxfId="27"/>
    <tableColumn id="8" xr3:uid="{0F9E066B-0F3D-489D-AD89-CA8FFD6C591F}" uniqueName="8" name="BankAmount" queryTableFieldId="8"/>
    <tableColumn id="9" xr3:uid="{D7D6B3C6-B263-45B2-AA07-8665A4F96645}" uniqueName="9" name="GLDate" queryTableFieldId="9" dataDxfId="26"/>
    <tableColumn id="10" xr3:uid="{2480648E-357B-45AD-826E-325B8F61C6FC}" uniqueName="10" name="GLJournalId" queryTableFieldId="10" dataDxfId="25"/>
    <tableColumn id="11" xr3:uid="{20A3316A-F0F0-46E8-ADA8-D9AFC3D442F1}" uniqueName="11" name="GLAccount" queryTableFieldId="11" dataDxfId="24"/>
    <tableColumn id="12" xr3:uid="{A469B536-0665-40CF-9F1D-26E8D483AAD8}" uniqueName="12" name="GLDescriptionNormalized" queryTableFieldId="12" dataDxfId="23"/>
    <tableColumn id="13" xr3:uid="{2C7807CA-F65C-4810-842E-92337EE4E92A}" uniqueName="13" name="GLAmount" queryTableFieldId="13"/>
    <tableColumn id="14" xr3:uid="{E3601AB6-7F85-4075-A1F8-244845C6D332}" uniqueName="14" name="Difference" queryTableFieldId="14"/>
    <tableColumn id="15" xr3:uid="{A30CB44E-7C7C-449D-BF35-252B33F4659B}" uniqueName="15" name="MatchStatus" queryTableFieldId="15" dataDxfId="22"/>
    <tableColumn id="16" xr3:uid="{AF719C49-CC5F-442A-AA08-D5C6AFB47C59}" uniqueName="16" name="Category" queryTableFieldId="16" dataDxfId="21"/>
    <tableColumn id="17" xr3:uid="{9BA838F6-D631-45A7-9778-BF0EDCD0948F}" uniqueName="17" name="AgingDays" queryTableFieldId="17"/>
    <tableColumn id="18" xr3:uid="{DF0A37CA-FE60-49D9-96B8-3E4C4DD31D04}" uniqueName="18" name="PeriodMonth" queryTableFieldId="18" dataDxfId="20"/>
    <tableColumn id="19" xr3:uid="{3E530937-9405-4B84-BE4B-8E8D10A4A82E}" uniqueName="19" name="PeriodYear" queryTableFieldId="1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BD46FB-0BAE-40A7-8D3F-A1E9036FA17B}" name="Summary_KPI" displayName="Summary_KPI" ref="A1:G16" tableType="queryTable" totalsRowShown="0">
  <autoFilter ref="A1:G16" xr:uid="{E1BD46FB-0BAE-40A7-8D3F-A1E9036FA17B}"/>
  <tableColumns count="7">
    <tableColumn id="1" xr3:uid="{65CFEA37-FA07-400D-8FF9-8DBD6BFACB08}" uniqueName="1" name="PeriodMonth" queryTableFieldId="1" dataDxfId="1"/>
    <tableColumn id="2" xr3:uid="{4F9E2CF4-8D33-4339-9694-DCA841B8676F}" uniqueName="2" name="MatchStatus" queryTableFieldId="2" dataDxfId="0"/>
    <tableColumn id="3" xr3:uid="{CF11E97F-7742-4FDF-A8EB-EC6375E54602}" uniqueName="3" name="Items" queryTableFieldId="3"/>
    <tableColumn id="4" xr3:uid="{19CF637C-7749-46E0-B4AD-2485EC93CFE4}" uniqueName="4" name="BankAmountSum" queryTableFieldId="4"/>
    <tableColumn id="5" xr3:uid="{18F663CE-61C8-4DBE-A103-1C288EE01DCB}" uniqueName="5" name="GLAmountSum" queryTableFieldId="5"/>
    <tableColumn id="6" xr3:uid="{8574B43F-625F-479C-8986-44ED2A4211EE}" uniqueName="6" name="DifferenceSum" queryTableFieldId="6"/>
    <tableColumn id="7" xr3:uid="{8C938A0F-1B92-4E86-98A6-515698278A71}" uniqueName="7" name="AvgAgingDays" queryTableField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BE5E1A-18E7-4FD4-99D7-B78D2AD1DC76}" name="GL_Only" displayName="GL_Only" ref="A1:S2" tableType="queryTable" totalsRowShown="0">
  <autoFilter ref="A1:S2" xr:uid="{76BE5E1A-18E7-4FD4-99D7-B78D2AD1DC76}"/>
  <tableColumns count="19">
    <tableColumn id="1" xr3:uid="{7358F269-1A93-4017-918F-9C37F8A0C912}" uniqueName="1" name="BankAccountId" queryTableFieldId="1" dataDxfId="43"/>
    <tableColumn id="2" xr3:uid="{F259AB1B-4A95-4DB9-9D33-C82DDE2A9FA9}" uniqueName="2" name="BankTransactionDate" queryTableFieldId="2" dataDxfId="5"/>
    <tableColumn id="3" xr3:uid="{40EF79EA-CAD8-4255-A143-19C332FA0EFA}" uniqueName="3" name="BankValueDate" queryTableFieldId="3" dataDxfId="4"/>
    <tableColumn id="4" xr3:uid="{B5299593-80F7-443B-B4AA-A566EAB99E01}" uniqueName="4" name="BankDescription" queryTableFieldId="4" dataDxfId="42"/>
    <tableColumn id="5" xr3:uid="{C6E35EC5-BAB7-4F17-8561-2046C6C61DF9}" uniqueName="5" name="BankReference" queryTableFieldId="5" dataDxfId="41"/>
    <tableColumn id="6" xr3:uid="{259F44EF-E307-44A0-998C-F621A5048911}" uniqueName="6" name="BankDescriptionNormalized" queryTableFieldId="6" dataDxfId="40"/>
    <tableColumn id="7" xr3:uid="{BBE1F22A-54F6-4E79-9C91-BC3516A845F6}" uniqueName="7" name="BankReferenceNormalized" queryTableFieldId="7" dataDxfId="39"/>
    <tableColumn id="8" xr3:uid="{3BCEBB74-D3C2-4CA1-BE7F-4AC5CC39DD35}" uniqueName="8" name="BankAmount" queryTableFieldId="8"/>
    <tableColumn id="9" xr3:uid="{C3FD2AD0-5EB4-4325-BA10-FA9C1F31F659}" uniqueName="9" name="GLDate" queryTableFieldId="9" dataDxfId="3"/>
    <tableColumn id="10" xr3:uid="{88FDAFE8-806D-4C06-82E3-E44E031FEEB8}" uniqueName="10" name="GLJournalId" queryTableFieldId="10" dataDxfId="38"/>
    <tableColumn id="11" xr3:uid="{AFC59776-8838-44DB-AC19-18B03F679B46}" uniqueName="11" name="GLAccount" queryTableFieldId="11" dataDxfId="37"/>
    <tableColumn id="12" xr3:uid="{882310FD-4968-466A-A1F9-A539BCB7FC7F}" uniqueName="12" name="GLDescriptionNormalized" queryTableFieldId="12" dataDxfId="36"/>
    <tableColumn id="13" xr3:uid="{6D205203-A220-4288-9111-68C774417034}" uniqueName="13" name="GLAmount" queryTableFieldId="13"/>
    <tableColumn id="14" xr3:uid="{FA2B409E-BDCA-47CC-B305-4EFCAE5FC5E4}" uniqueName="14" name="Difference" queryTableFieldId="14"/>
    <tableColumn id="15" xr3:uid="{8882229E-241C-4D31-94FA-EDD212C1787C}" uniqueName="15" name="MatchStatus" queryTableFieldId="15" dataDxfId="35"/>
    <tableColumn id="16" xr3:uid="{499ECFF8-E080-474A-BDA4-158198BFBDEC}" uniqueName="16" name="Category" queryTableFieldId="16" dataDxfId="34"/>
    <tableColumn id="17" xr3:uid="{1D8D11AC-28C8-48CC-B564-A7526308D8C2}" uniqueName="17" name="AgingDays" queryTableFieldId="17"/>
    <tableColumn id="18" xr3:uid="{40345000-D2BA-44A3-B59F-DF801E00AAEE}" uniqueName="18" name="PeriodMonth" queryTableFieldId="18" dataDxfId="2"/>
    <tableColumn id="19" xr3:uid="{D56C5B92-97A7-45F1-865E-3FD3147395DA}" uniqueName="19" name="PeriodYear" queryTableField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7FA77C-ACF5-475D-A93B-22B50B7C4BCB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998df699-f865-468e-b149-d280060ac15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87EE-F804-4C48-94E7-8B68C69FC812}">
  <dimension ref="A1:F5"/>
  <sheetViews>
    <sheetView topLeftCell="A5" workbookViewId="0">
      <selection activeCell="A6" sqref="A6"/>
    </sheetView>
  </sheetViews>
  <sheetFormatPr baseColWidth="10" defaultRowHeight="14.5" x14ac:dyDescent="0.35"/>
  <cols>
    <col min="1" max="1" width="7.26953125" customWidth="1"/>
    <col min="2" max="2" width="13.6328125" customWidth="1"/>
    <col min="3" max="6" width="47.26953125" customWidth="1"/>
  </cols>
  <sheetData>
    <row r="1" spans="1:6" x14ac:dyDescent="0.35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</row>
    <row r="2" spans="1:6" ht="72.5" x14ac:dyDescent="0.35">
      <c r="A2" s="6">
        <v>1</v>
      </c>
      <c r="B2" s="7">
        <v>46155</v>
      </c>
      <c r="C2" s="6" t="s">
        <v>113</v>
      </c>
      <c r="D2" s="6" t="s">
        <v>114</v>
      </c>
      <c r="E2" s="6" t="s">
        <v>115</v>
      </c>
      <c r="F2" s="6" t="s">
        <v>116</v>
      </c>
    </row>
    <row r="3" spans="1:6" ht="130.5" x14ac:dyDescent="0.35">
      <c r="A3" s="6">
        <v>2</v>
      </c>
      <c r="B3" s="7">
        <v>46155</v>
      </c>
      <c r="C3" s="6" t="s">
        <v>133</v>
      </c>
      <c r="D3" s="6" t="s">
        <v>134</v>
      </c>
      <c r="E3" s="6" t="s">
        <v>135</v>
      </c>
      <c r="F3" s="6" t="s">
        <v>136</v>
      </c>
    </row>
    <row r="4" spans="1:6" ht="130.5" x14ac:dyDescent="0.35">
      <c r="A4" s="6">
        <v>3</v>
      </c>
      <c r="B4" s="7">
        <v>46155</v>
      </c>
      <c r="C4" s="6" t="s">
        <v>138</v>
      </c>
      <c r="D4" s="6" t="s">
        <v>139</v>
      </c>
      <c r="E4" s="6" t="s">
        <v>140</v>
      </c>
      <c r="F4" s="6" t="s">
        <v>141</v>
      </c>
    </row>
    <row r="5" spans="1:6" ht="130.5" x14ac:dyDescent="0.35">
      <c r="A5" s="6">
        <v>4</v>
      </c>
      <c r="B5" s="7">
        <v>46155</v>
      </c>
      <c r="C5" s="6" t="s">
        <v>145</v>
      </c>
      <c r="D5" s="6" t="s">
        <v>146</v>
      </c>
      <c r="E5" s="6" t="s">
        <v>147</v>
      </c>
      <c r="F5" s="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C77-4C8C-464C-9967-4B0F03644413}">
  <dimension ref="B2:K22"/>
  <sheetViews>
    <sheetView showGridLines="0" tabSelected="1" zoomScale="60" zoomScaleNormal="60" workbookViewId="0">
      <selection activeCell="P15" sqref="P15"/>
    </sheetView>
  </sheetViews>
  <sheetFormatPr baseColWidth="10" defaultRowHeight="14.5" x14ac:dyDescent="0.35"/>
  <cols>
    <col min="2" max="11" width="14.54296875" customWidth="1"/>
  </cols>
  <sheetData>
    <row r="2" spans="2:11" ht="28.5" x14ac:dyDescent="0.65">
      <c r="B2" s="27" t="s">
        <v>482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5">
      <c r="B3" s="24" t="s">
        <v>483</v>
      </c>
      <c r="C3" s="21"/>
      <c r="D3" s="21"/>
      <c r="E3" s="21"/>
      <c r="F3" s="21"/>
      <c r="G3" s="21"/>
      <c r="H3" s="21"/>
      <c r="I3" s="21"/>
      <c r="J3" s="21"/>
      <c r="K3" s="21"/>
    </row>
    <row r="5" spans="2:11" ht="22" customHeight="1" x14ac:dyDescent="0.35">
      <c r="B5" s="26" t="s">
        <v>484</v>
      </c>
      <c r="C5" s="21"/>
      <c r="D5" s="21"/>
      <c r="E5" s="26" t="s">
        <v>485</v>
      </c>
      <c r="F5" s="21"/>
      <c r="G5" s="21"/>
      <c r="H5" s="28" t="s">
        <v>486</v>
      </c>
      <c r="I5" s="21"/>
      <c r="J5" s="21"/>
    </row>
    <row r="6" spans="2:11" ht="50" customHeight="1" x14ac:dyDescent="0.75">
      <c r="B6" s="22">
        <f>COUNTA(Reconciliation_Output[BankTransactionDate])</f>
        <v>15</v>
      </c>
      <c r="C6" s="21"/>
      <c r="D6" s="21"/>
      <c r="E6" s="22">
        <f>COUNTA(Reconciliation_Output[GLDate])</f>
        <v>14</v>
      </c>
      <c r="F6" s="21"/>
      <c r="G6" s="21"/>
      <c r="H6" s="22">
        <f>COUNTIFS(Reconciliation_Output[MatchStatus],"EXACT_MATCH")+COUNTIFS(Reconciliation_Output[MatchStatus],"PARTIAL_MATCH")</f>
        <v>13</v>
      </c>
      <c r="I6" s="21"/>
      <c r="J6" s="21"/>
    </row>
    <row r="8" spans="2:11" ht="22" customHeight="1" x14ac:dyDescent="0.35">
      <c r="B8" s="25" t="s">
        <v>487</v>
      </c>
      <c r="C8" s="21"/>
      <c r="D8" s="21"/>
      <c r="E8" s="25" t="s">
        <v>488</v>
      </c>
      <c r="F8" s="21"/>
      <c r="G8" s="21"/>
      <c r="H8" s="26" t="s">
        <v>274</v>
      </c>
      <c r="I8" s="21"/>
      <c r="J8" s="21"/>
    </row>
    <row r="9" spans="2:11" ht="50" customHeight="1" x14ac:dyDescent="0.75">
      <c r="B9" s="22">
        <f>COUNTIFS(Reconciliation_Output[MatchStatus],"MISSING_IN_GL")+COUNTIFS(Reconciliation_Output[MatchStatus],"MISSING_IN_BANK")+COUNTIFS(Reconciliation_Output[MatchStatus],"VARIANCE")</f>
        <v>4</v>
      </c>
      <c r="C9" s="21"/>
      <c r="D9" s="21"/>
      <c r="E9" s="22">
        <f>SUM(Reconciliation_Output[Difference])</f>
        <v>-250</v>
      </c>
      <c r="F9" s="21"/>
      <c r="G9" s="21"/>
      <c r="H9" s="38">
        <f>SUM(Reconciliation_Output[BankAmount])</f>
        <v>3955.55</v>
      </c>
      <c r="I9" s="39"/>
      <c r="J9" s="39"/>
    </row>
    <row r="12" spans="2:11" ht="15.5" x14ac:dyDescent="0.35">
      <c r="B12" s="23" t="s">
        <v>489</v>
      </c>
      <c r="C12" s="21"/>
      <c r="D12" s="21"/>
      <c r="E12" s="21"/>
      <c r="G12" s="23" t="s">
        <v>497</v>
      </c>
      <c r="H12" s="21"/>
      <c r="I12" s="21"/>
      <c r="J12" s="21"/>
    </row>
    <row r="13" spans="2:11" x14ac:dyDescent="0.35">
      <c r="B13" s="4" t="s">
        <v>490</v>
      </c>
      <c r="C13" s="4" t="s">
        <v>491</v>
      </c>
      <c r="D13" s="4" t="s">
        <v>492</v>
      </c>
      <c r="E13" s="4"/>
      <c r="G13" s="4" t="s">
        <v>92</v>
      </c>
      <c r="H13" s="4" t="s">
        <v>491</v>
      </c>
      <c r="I13" s="4" t="s">
        <v>493</v>
      </c>
    </row>
    <row r="14" spans="2:11" x14ac:dyDescent="0.35">
      <c r="B14" t="s">
        <v>170</v>
      </c>
      <c r="C14">
        <f>COUNTIF(Reconciliation_Output[MatchStatus],B14)</f>
        <v>13</v>
      </c>
      <c r="D14" s="16">
        <f>IFERROR(C14/COUNTA(Reconciliation_Output[MatchStatus]),0)</f>
        <v>0.76470588235294112</v>
      </c>
      <c r="E14" s="17"/>
      <c r="G14" t="s">
        <v>94</v>
      </c>
      <c r="H14">
        <f>COUNTIF(Reconciliation_Output[Category],G14)</f>
        <v>1</v>
      </c>
      <c r="I14" s="17">
        <f>SUMIF(Reconciliation_Output[Category],G14,Reconciliation_Output[BankAmount])</f>
        <v>-350</v>
      </c>
    </row>
    <row r="15" spans="2:11" x14ac:dyDescent="0.35">
      <c r="B15" t="s">
        <v>494</v>
      </c>
      <c r="C15">
        <f>COUNTIF(Reconciliation_Output[MatchStatus],B15)</f>
        <v>0</v>
      </c>
      <c r="D15" s="16">
        <f>IFERROR(C15/COUNTA(Reconciliation_Output[MatchStatus]),0)</f>
        <v>0</v>
      </c>
      <c r="E15" s="17"/>
      <c r="G15" t="s">
        <v>96</v>
      </c>
      <c r="H15">
        <f>COUNTIF(Reconciliation_Output[Category],G15)</f>
        <v>1</v>
      </c>
      <c r="I15" s="17">
        <f>SUMIF(Reconciliation_Output[Category],G15,Reconciliation_Output[BankAmount])</f>
        <v>-120</v>
      </c>
    </row>
    <row r="16" spans="2:11" x14ac:dyDescent="0.35">
      <c r="B16" t="s">
        <v>495</v>
      </c>
      <c r="C16">
        <f>COUNTIF(Reconciliation_Output[MatchStatus],B16)</f>
        <v>0</v>
      </c>
      <c r="D16" s="16">
        <f>IFERROR(C16/COUNTA(Reconciliation_Output[MatchStatus]),0)</f>
        <v>0</v>
      </c>
      <c r="E16" s="17"/>
      <c r="G16" t="s">
        <v>98</v>
      </c>
      <c r="H16">
        <f>COUNTIF(Reconciliation_Output[Category],G16)</f>
        <v>1</v>
      </c>
      <c r="I16" s="17">
        <f>SUMIF(Reconciliation_Output[Category],G16,Reconciliation_Output[BankAmount])</f>
        <v>-89.45</v>
      </c>
    </row>
    <row r="17" spans="2:11" x14ac:dyDescent="0.35">
      <c r="B17" t="s">
        <v>183</v>
      </c>
      <c r="C17">
        <f>COUNTIF(Reconciliation_Output[MatchStatus],B17)</f>
        <v>3</v>
      </c>
      <c r="D17" s="16">
        <f>IFERROR(C17/COUNTA(Reconciliation_Output[MatchStatus]),0)</f>
        <v>0.17647058823529413</v>
      </c>
      <c r="E17" s="17"/>
      <c r="G17" t="s">
        <v>100</v>
      </c>
      <c r="H17">
        <f>COUNTIF(Reconciliation_Output[Category],G17)</f>
        <v>1</v>
      </c>
      <c r="I17" s="17">
        <f>SUMIF(Reconciliation_Output[Category],G17,Reconciliation_Output[BankAmount])</f>
        <v>-7800</v>
      </c>
    </row>
    <row r="18" spans="2:11" x14ac:dyDescent="0.35">
      <c r="B18" t="s">
        <v>172</v>
      </c>
      <c r="C18">
        <f>COUNTIF(Reconciliation_Output[MatchStatus],B18)</f>
        <v>1</v>
      </c>
      <c r="D18" s="16">
        <f>IFERROR(C18/COUNTA(Reconciliation_Output[MatchStatus]),0)</f>
        <v>5.8823529411764705E-2</v>
      </c>
      <c r="E18" s="17"/>
      <c r="G18" t="s">
        <v>262</v>
      </c>
      <c r="H18">
        <f>COUNTIF(Reconciliation_Output[Category],G18)</f>
        <v>0</v>
      </c>
      <c r="I18" s="17">
        <f>SUMIF(Reconciliation_Output[Category],G18,Reconciliation_Output[BankAmount])</f>
        <v>0</v>
      </c>
    </row>
    <row r="19" spans="2:11" x14ac:dyDescent="0.35">
      <c r="B19" s="18" t="s">
        <v>496</v>
      </c>
      <c r="C19" s="18">
        <f>SUM(C14:C18)</f>
        <v>17</v>
      </c>
      <c r="D19" s="19">
        <f>SUM(D14:D18)</f>
        <v>1</v>
      </c>
      <c r="E19" s="20"/>
      <c r="G19" t="s">
        <v>104</v>
      </c>
      <c r="H19">
        <f>COUNTIF(Reconciliation_Output[Category],G19)</f>
        <v>2</v>
      </c>
      <c r="I19" s="17">
        <f>SUMIF(Reconciliation_Output[Category],G19,Reconciliation_Output[BankAmount])</f>
        <v>9950</v>
      </c>
    </row>
    <row r="20" spans="2:11" x14ac:dyDescent="0.35">
      <c r="G20" t="s">
        <v>171</v>
      </c>
      <c r="H20">
        <f>COUNTIF(Reconciliation_Output[Category],G20)</f>
        <v>10</v>
      </c>
      <c r="I20" s="17">
        <f>SUMIF(Reconciliation_Output[Category],G20,Reconciliation_Output[BankAmount])</f>
        <v>2380</v>
      </c>
    </row>
    <row r="22" spans="2:11" x14ac:dyDescent="0.35">
      <c r="B22" s="24" t="s">
        <v>498</v>
      </c>
      <c r="C22" s="21"/>
      <c r="D22" s="21"/>
      <c r="E22" s="21"/>
      <c r="F22" s="21"/>
      <c r="G22" s="21"/>
      <c r="H22" s="21"/>
      <c r="I22" s="21"/>
      <c r="J22" s="21"/>
      <c r="K22" s="21"/>
    </row>
  </sheetData>
  <mergeCells count="17">
    <mergeCell ref="B2:K2"/>
    <mergeCell ref="B3:K3"/>
    <mergeCell ref="B5:D5"/>
    <mergeCell ref="B6:D6"/>
    <mergeCell ref="E5:G5"/>
    <mergeCell ref="E6:G6"/>
    <mergeCell ref="H5:J5"/>
    <mergeCell ref="H6:J6"/>
    <mergeCell ref="B12:E12"/>
    <mergeCell ref="G12:J12"/>
    <mergeCell ref="B22:K22"/>
    <mergeCell ref="B8:D8"/>
    <mergeCell ref="B9:D9"/>
    <mergeCell ref="E8:G8"/>
    <mergeCell ref="E9:G9"/>
    <mergeCell ref="H8:J8"/>
    <mergeCell ref="H9:J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E2" sqref="E2"/>
    </sheetView>
  </sheetViews>
  <sheetFormatPr baseColWidth="10" defaultColWidth="8.7265625" defaultRowHeight="14.5" x14ac:dyDescent="0.35"/>
  <cols>
    <col min="1" max="2" width="14" customWidth="1"/>
    <col min="3" max="3" width="35" customWidth="1"/>
    <col min="4" max="4" width="13" customWidth="1"/>
    <col min="5" max="6" width="1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7</v>
      </c>
      <c r="C2" t="s">
        <v>8</v>
      </c>
      <c r="D2" t="s">
        <v>9</v>
      </c>
      <c r="E2">
        <v>350</v>
      </c>
      <c r="G2">
        <v>24650</v>
      </c>
    </row>
    <row r="3" spans="1:7" x14ac:dyDescent="0.35">
      <c r="A3" t="s">
        <v>10</v>
      </c>
      <c r="B3" t="s">
        <v>10</v>
      </c>
      <c r="C3" t="s">
        <v>11</v>
      </c>
      <c r="D3" t="s">
        <v>12</v>
      </c>
      <c r="F3">
        <v>5200</v>
      </c>
      <c r="G3">
        <v>29850</v>
      </c>
    </row>
    <row r="4" spans="1:7" x14ac:dyDescent="0.35">
      <c r="A4" t="s">
        <v>13</v>
      </c>
      <c r="B4" t="s">
        <v>13</v>
      </c>
      <c r="C4" t="s">
        <v>14</v>
      </c>
      <c r="D4" t="s">
        <v>15</v>
      </c>
      <c r="E4">
        <v>45</v>
      </c>
      <c r="G4">
        <v>29805</v>
      </c>
    </row>
    <row r="5" spans="1:7" x14ac:dyDescent="0.35">
      <c r="A5" t="s">
        <v>13</v>
      </c>
      <c r="B5" t="s">
        <v>13</v>
      </c>
      <c r="C5" t="s">
        <v>16</v>
      </c>
      <c r="D5" t="s">
        <v>17</v>
      </c>
      <c r="E5">
        <v>7800</v>
      </c>
      <c r="G5">
        <v>22005</v>
      </c>
    </row>
    <row r="6" spans="1:7" x14ac:dyDescent="0.35">
      <c r="A6" t="s">
        <v>18</v>
      </c>
      <c r="B6" t="s">
        <v>18</v>
      </c>
      <c r="C6" t="s">
        <v>19</v>
      </c>
      <c r="D6" t="s">
        <v>20</v>
      </c>
      <c r="E6">
        <v>1250</v>
      </c>
      <c r="G6">
        <v>20755</v>
      </c>
    </row>
    <row r="7" spans="1:7" x14ac:dyDescent="0.35">
      <c r="A7" t="s">
        <v>21</v>
      </c>
      <c r="B7" t="s">
        <v>21</v>
      </c>
      <c r="C7" t="s">
        <v>22</v>
      </c>
      <c r="D7" t="s">
        <v>23</v>
      </c>
      <c r="F7">
        <v>2300</v>
      </c>
      <c r="G7">
        <v>23055</v>
      </c>
    </row>
    <row r="8" spans="1:7" x14ac:dyDescent="0.35">
      <c r="A8" t="s">
        <v>21</v>
      </c>
      <c r="B8" t="s">
        <v>21</v>
      </c>
      <c r="C8" t="s">
        <v>24</v>
      </c>
      <c r="D8" t="s">
        <v>25</v>
      </c>
      <c r="E8">
        <v>300</v>
      </c>
      <c r="G8">
        <v>22755</v>
      </c>
    </row>
    <row r="9" spans="1:7" x14ac:dyDescent="0.35">
      <c r="A9" t="s">
        <v>26</v>
      </c>
      <c r="B9" t="s">
        <v>26</v>
      </c>
      <c r="C9" t="s">
        <v>27</v>
      </c>
      <c r="D9" t="s">
        <v>28</v>
      </c>
      <c r="E9">
        <v>120</v>
      </c>
      <c r="G9">
        <v>22635</v>
      </c>
    </row>
    <row r="10" spans="1:7" x14ac:dyDescent="0.35">
      <c r="A10" t="s">
        <v>29</v>
      </c>
      <c r="B10" t="s">
        <v>29</v>
      </c>
      <c r="C10" t="s">
        <v>30</v>
      </c>
      <c r="D10" t="s">
        <v>31</v>
      </c>
      <c r="F10">
        <v>3100</v>
      </c>
      <c r="G10">
        <v>25735</v>
      </c>
    </row>
    <row r="11" spans="1:7" x14ac:dyDescent="0.35">
      <c r="A11" t="s">
        <v>32</v>
      </c>
      <c r="B11" t="s">
        <v>32</v>
      </c>
      <c r="C11" t="s">
        <v>33</v>
      </c>
      <c r="D11" t="s">
        <v>34</v>
      </c>
      <c r="E11">
        <v>500</v>
      </c>
      <c r="G11">
        <v>25235</v>
      </c>
    </row>
    <row r="12" spans="1:7" x14ac:dyDescent="0.35">
      <c r="A12" t="s">
        <v>35</v>
      </c>
      <c r="B12" t="s">
        <v>35</v>
      </c>
      <c r="C12" t="s">
        <v>36</v>
      </c>
      <c r="D12" t="s">
        <v>37</v>
      </c>
      <c r="F12">
        <v>25</v>
      </c>
      <c r="G12">
        <v>25260</v>
      </c>
    </row>
    <row r="13" spans="1:7" x14ac:dyDescent="0.35">
      <c r="A13" t="s">
        <v>38</v>
      </c>
      <c r="B13" t="s">
        <v>38</v>
      </c>
      <c r="C13" t="s">
        <v>39</v>
      </c>
      <c r="D13" t="s">
        <v>40</v>
      </c>
      <c r="E13">
        <v>89.45</v>
      </c>
      <c r="G13">
        <v>25170.55</v>
      </c>
    </row>
    <row r="14" spans="1:7" x14ac:dyDescent="0.35">
      <c r="A14" t="s">
        <v>41</v>
      </c>
      <c r="B14" t="s">
        <v>41</v>
      </c>
      <c r="C14" t="s">
        <v>42</v>
      </c>
      <c r="D14" t="s">
        <v>43</v>
      </c>
      <c r="F14">
        <v>4750</v>
      </c>
      <c r="G14">
        <v>29920.55</v>
      </c>
    </row>
    <row r="15" spans="1:7" x14ac:dyDescent="0.35">
      <c r="A15" t="s">
        <v>44</v>
      </c>
      <c r="B15" t="s">
        <v>44</v>
      </c>
      <c r="C15" t="s">
        <v>45</v>
      </c>
      <c r="D15" t="s">
        <v>46</v>
      </c>
      <c r="E15">
        <v>950</v>
      </c>
      <c r="G15">
        <v>28970.55</v>
      </c>
    </row>
    <row r="16" spans="1:7" x14ac:dyDescent="0.35">
      <c r="A16" t="s">
        <v>44</v>
      </c>
      <c r="B16" t="s">
        <v>44</v>
      </c>
      <c r="C16" t="s">
        <v>47</v>
      </c>
      <c r="D16" t="s">
        <v>48</v>
      </c>
      <c r="E16">
        <v>15</v>
      </c>
      <c r="G16">
        <v>28955.55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C12" sqref="C12"/>
    </sheetView>
  </sheetViews>
  <sheetFormatPr baseColWidth="10" defaultColWidth="8.7265625" defaultRowHeight="14.5" x14ac:dyDescent="0.35"/>
  <cols>
    <col min="1" max="2" width="14" customWidth="1"/>
    <col min="3" max="3" width="23" customWidth="1"/>
    <col min="4" max="4" width="26" customWidth="1"/>
    <col min="5" max="6" width="10" customWidth="1"/>
    <col min="7" max="7" width="11" customWidth="1"/>
  </cols>
  <sheetData>
    <row r="1" spans="1:7" x14ac:dyDescent="0.35">
      <c r="A1" s="1" t="s">
        <v>49</v>
      </c>
      <c r="B1" s="1" t="s">
        <v>50</v>
      </c>
      <c r="C1" s="1" t="s">
        <v>51</v>
      </c>
      <c r="D1" s="1" t="s">
        <v>2</v>
      </c>
      <c r="E1" s="1" t="s">
        <v>4</v>
      </c>
      <c r="F1" s="1" t="s">
        <v>5</v>
      </c>
      <c r="G1" s="1" t="s">
        <v>52</v>
      </c>
    </row>
    <row r="2" spans="1:7" x14ac:dyDescent="0.35">
      <c r="A2" t="s">
        <v>7</v>
      </c>
      <c r="B2" t="s">
        <v>53</v>
      </c>
      <c r="C2" t="s">
        <v>54</v>
      </c>
      <c r="D2" t="s">
        <v>55</v>
      </c>
      <c r="E2">
        <v>350</v>
      </c>
      <c r="G2">
        <v>-350</v>
      </c>
    </row>
    <row r="3" spans="1:7" x14ac:dyDescent="0.35">
      <c r="A3" t="s">
        <v>10</v>
      </c>
      <c r="B3" t="s">
        <v>56</v>
      </c>
      <c r="C3" t="s">
        <v>54</v>
      </c>
      <c r="D3" t="s">
        <v>57</v>
      </c>
      <c r="F3">
        <v>5200</v>
      </c>
      <c r="G3">
        <v>5200</v>
      </c>
    </row>
    <row r="4" spans="1:7" x14ac:dyDescent="0.35">
      <c r="A4" t="s">
        <v>13</v>
      </c>
      <c r="B4" t="s">
        <v>58</v>
      </c>
      <c r="C4" t="s">
        <v>59</v>
      </c>
      <c r="D4" t="s">
        <v>60</v>
      </c>
      <c r="E4">
        <v>45</v>
      </c>
      <c r="G4">
        <v>-45</v>
      </c>
    </row>
    <row r="5" spans="1:7" x14ac:dyDescent="0.35">
      <c r="A5" t="s">
        <v>13</v>
      </c>
      <c r="B5" t="s">
        <v>61</v>
      </c>
      <c r="C5" t="s">
        <v>62</v>
      </c>
      <c r="D5" t="s">
        <v>63</v>
      </c>
      <c r="E5">
        <v>7800</v>
      </c>
      <c r="G5">
        <v>-7800</v>
      </c>
    </row>
    <row r="6" spans="1:7" x14ac:dyDescent="0.35">
      <c r="A6" t="s">
        <v>18</v>
      </c>
      <c r="B6" t="s">
        <v>64</v>
      </c>
      <c r="C6" t="s">
        <v>65</v>
      </c>
      <c r="D6" t="s">
        <v>66</v>
      </c>
      <c r="E6">
        <v>1250</v>
      </c>
      <c r="G6">
        <v>-1250</v>
      </c>
    </row>
    <row r="7" spans="1:7" x14ac:dyDescent="0.35">
      <c r="A7" t="s">
        <v>21</v>
      </c>
      <c r="B7" t="s">
        <v>67</v>
      </c>
      <c r="C7" t="s">
        <v>54</v>
      </c>
      <c r="D7" t="s">
        <v>68</v>
      </c>
      <c r="F7">
        <v>2300</v>
      </c>
      <c r="G7">
        <v>2300</v>
      </c>
    </row>
    <row r="8" spans="1:7" x14ac:dyDescent="0.35">
      <c r="A8" t="s">
        <v>26</v>
      </c>
      <c r="B8" t="s">
        <v>69</v>
      </c>
      <c r="C8" t="s">
        <v>70</v>
      </c>
      <c r="D8" t="s">
        <v>71</v>
      </c>
      <c r="E8">
        <v>120</v>
      </c>
      <c r="G8">
        <v>-120</v>
      </c>
    </row>
    <row r="9" spans="1:7" x14ac:dyDescent="0.35">
      <c r="A9" t="s">
        <v>29</v>
      </c>
      <c r="B9" t="s">
        <v>72</v>
      </c>
      <c r="C9" t="s">
        <v>54</v>
      </c>
      <c r="D9" t="s">
        <v>73</v>
      </c>
      <c r="F9">
        <v>3100</v>
      </c>
      <c r="G9">
        <v>3100</v>
      </c>
    </row>
    <row r="10" spans="1:7" x14ac:dyDescent="0.35">
      <c r="A10" t="s">
        <v>32</v>
      </c>
      <c r="B10" t="s">
        <v>74</v>
      </c>
      <c r="C10" t="s">
        <v>75</v>
      </c>
      <c r="D10" t="s">
        <v>76</v>
      </c>
      <c r="E10">
        <v>500</v>
      </c>
      <c r="G10">
        <v>-500</v>
      </c>
    </row>
    <row r="11" spans="1:7" x14ac:dyDescent="0.35">
      <c r="A11" t="s">
        <v>35</v>
      </c>
      <c r="B11" t="s">
        <v>77</v>
      </c>
      <c r="C11" t="s">
        <v>78</v>
      </c>
      <c r="D11" t="s">
        <v>79</v>
      </c>
      <c r="F11">
        <v>25</v>
      </c>
      <c r="G11">
        <v>25</v>
      </c>
    </row>
    <row r="12" spans="1:7" x14ac:dyDescent="0.35">
      <c r="A12" t="s">
        <v>38</v>
      </c>
      <c r="B12" t="s">
        <v>80</v>
      </c>
      <c r="C12" t="s">
        <v>81</v>
      </c>
      <c r="D12" t="s">
        <v>82</v>
      </c>
      <c r="E12">
        <v>89.45</v>
      </c>
      <c r="G12">
        <v>-89.45</v>
      </c>
    </row>
    <row r="13" spans="1:7" x14ac:dyDescent="0.35">
      <c r="A13" t="s">
        <v>41</v>
      </c>
      <c r="B13" t="s">
        <v>83</v>
      </c>
      <c r="C13" t="s">
        <v>54</v>
      </c>
      <c r="D13" t="s">
        <v>57</v>
      </c>
      <c r="F13">
        <v>4700</v>
      </c>
      <c r="G13">
        <v>4700</v>
      </c>
    </row>
    <row r="14" spans="1:7" x14ac:dyDescent="0.35">
      <c r="A14" t="s">
        <v>44</v>
      </c>
      <c r="B14" t="s">
        <v>84</v>
      </c>
      <c r="C14" t="s">
        <v>85</v>
      </c>
      <c r="D14" t="s">
        <v>86</v>
      </c>
      <c r="E14">
        <v>950</v>
      </c>
      <c r="G14">
        <v>-950</v>
      </c>
    </row>
    <row r="15" spans="1:7" x14ac:dyDescent="0.35">
      <c r="A15" t="s">
        <v>44</v>
      </c>
      <c r="B15" t="s">
        <v>87</v>
      </c>
      <c r="C15" t="s">
        <v>88</v>
      </c>
      <c r="D15" t="s">
        <v>89</v>
      </c>
      <c r="E15">
        <v>15</v>
      </c>
      <c r="G15">
        <v>-15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9" sqref="C9"/>
    </sheetView>
  </sheetViews>
  <sheetFormatPr baseColWidth="10" defaultColWidth="8.7265625" defaultRowHeight="14.5" x14ac:dyDescent="0.35"/>
  <cols>
    <col min="1" max="1" width="16" customWidth="1"/>
    <col min="2" max="2" width="25" customWidth="1"/>
    <col min="3" max="3" width="14" customWidth="1"/>
  </cols>
  <sheetData>
    <row r="1" spans="1:3" x14ac:dyDescent="0.35">
      <c r="A1" s="1" t="s">
        <v>90</v>
      </c>
      <c r="B1" s="1" t="s">
        <v>91</v>
      </c>
      <c r="C1" s="1" t="s">
        <v>92</v>
      </c>
    </row>
    <row r="2" spans="1:3" x14ac:dyDescent="0.35">
      <c r="A2" t="s">
        <v>93</v>
      </c>
      <c r="B2" t="s">
        <v>55</v>
      </c>
      <c r="C2" t="s">
        <v>94</v>
      </c>
    </row>
    <row r="3" spans="1:3" x14ac:dyDescent="0.35">
      <c r="A3" t="s">
        <v>95</v>
      </c>
      <c r="B3" t="s">
        <v>70</v>
      </c>
      <c r="C3" t="s">
        <v>96</v>
      </c>
    </row>
    <row r="4" spans="1:3" x14ac:dyDescent="0.35">
      <c r="A4" t="s">
        <v>97</v>
      </c>
      <c r="B4" t="s">
        <v>81</v>
      </c>
      <c r="C4" t="s">
        <v>98</v>
      </c>
    </row>
    <row r="5" spans="1:3" x14ac:dyDescent="0.35">
      <c r="A5" t="s">
        <v>99</v>
      </c>
      <c r="B5" t="s">
        <v>62</v>
      </c>
      <c r="C5" t="s">
        <v>100</v>
      </c>
    </row>
    <row r="6" spans="1:3" x14ac:dyDescent="0.35">
      <c r="A6" t="s">
        <v>101</v>
      </c>
      <c r="B6" t="s">
        <v>59</v>
      </c>
      <c r="C6" t="s">
        <v>102</v>
      </c>
    </row>
    <row r="7" spans="1:3" x14ac:dyDescent="0.35">
      <c r="A7" t="s">
        <v>103</v>
      </c>
      <c r="B7" t="s">
        <v>57</v>
      </c>
      <c r="C7" t="s">
        <v>104</v>
      </c>
    </row>
    <row r="8" spans="1:3" x14ac:dyDescent="0.35">
      <c r="A8" t="s">
        <v>47</v>
      </c>
      <c r="B8" t="s">
        <v>89</v>
      </c>
      <c r="C8" t="s">
        <v>499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zoomScale="60" zoomScaleNormal="60" workbookViewId="0">
      <selection activeCell="B1" sqref="B1"/>
    </sheetView>
  </sheetViews>
  <sheetFormatPr baseColWidth="10" defaultColWidth="8.7265625" defaultRowHeight="14.5" x14ac:dyDescent="0.35"/>
  <cols>
    <col min="1" max="1" width="96.08984375" customWidth="1"/>
    <col min="2" max="2" width="53.54296875" customWidth="1"/>
    <col min="3" max="3" width="33.453125" customWidth="1"/>
  </cols>
  <sheetData>
    <row r="1" spans="1:4" ht="409.5" x14ac:dyDescent="0.35">
      <c r="A1" s="2" t="s">
        <v>105</v>
      </c>
      <c r="B1" s="2" t="str">
        <f>+_xlfn.TRANSLATE(A1,"en","es")</f>
        <v xml:space="preserve">
Eres Analista de Datos Senior y experto en Power Query.
Necesito que me ayudes a construir un modelo profesional automatizado de conciliación bancaria en Microsoft Excel usando Power Query.
Ya tengo estas tablas de Excel:
1. Bank_Statement
2. General_Ledger
3. Reconciliation_Rules
Tu tarea:
- Generar código completo de Power Query M.
- El código debe estar listo para pegarse directamente en Power Query Advanced Editor.
- Explicar paso a paso dónde debe crearse cada consulta.
- Crear consultas separadas para:
    a) Limpieza de bancos
    b) Limpieza GL
    c) Lógica de emparejamiento
    d) Salida de conciliación
- Utilizar las mejores prácticas y convenciones profesionales de nombres.
Requisitos:
1. Campos de texto limpios:
   - TRIM
   - LIMPIO
   - MAYÚSCULAS
   - Eliminar espacios extra
2. Crear columnas de cantidad estandarizadas.
3. Crear claves de coincidencia usando:
   - Fecha
   - Cantidad
   - Descripción
4. Construir lógica de conciliación automática:
   - Coincidencia exacta
   - Partido parcial
   - Desaparecidos en GL
   - Desaparecidos en el banco
   - Varianza
5. Incluye recomendaciones de emparejamiento difuso.
6. Explica:
   - Por qué se necesita cada transformación
   - Qué hace cada sección del código M
7. Generar la tabla final de conciliación con:
   - Transacción bancaria
   - Transacción GL
   - Estado del partido
   - Diferencia
   - Días de envejecimiento
8. Hacer que la solución sea escalable para:
   - Cuentas bancarias múltiples
   - Conciliación mensual
   - Integración futura de paneles en Power BI
9. Utiliza solo la sintaxis profesional de Power Query M.
10. Añadir comentarios dentro del código M.
IMPORTANTE:
No resumas.
Genera código M COMPLETO listo para producción.
</v>
      </c>
      <c r="C1" s="2" t="s">
        <v>106</v>
      </c>
      <c r="D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751B-2A24-432B-9152-45FC09BEDCB3}">
  <dimension ref="A1:S18"/>
  <sheetViews>
    <sheetView topLeftCell="J1" workbookViewId="0">
      <selection activeCell="M1" sqref="M1"/>
    </sheetView>
  </sheetViews>
  <sheetFormatPr baseColWidth="10" defaultRowHeight="14.5" x14ac:dyDescent="0.35"/>
  <cols>
    <col min="1" max="1" width="15.7265625" bestFit="1" customWidth="1"/>
    <col min="2" max="2" width="21.1796875" bestFit="1" customWidth="1"/>
    <col min="3" max="3" width="16" bestFit="1" customWidth="1"/>
    <col min="4" max="4" width="33.90625" bestFit="1" customWidth="1"/>
    <col min="5" max="5" width="15.6328125" bestFit="1" customWidth="1"/>
    <col min="6" max="6" width="33.90625" bestFit="1" customWidth="1"/>
    <col min="7" max="7" width="25.36328125" bestFit="1" customWidth="1"/>
    <col min="8" max="8" width="14.08984375" bestFit="1" customWidth="1"/>
    <col min="9" max="9" width="9.453125" bestFit="1" customWidth="1"/>
    <col min="10" max="10" width="12.90625" bestFit="1" customWidth="1"/>
    <col min="11" max="11" width="20.453125" bestFit="1" customWidth="1"/>
    <col min="12" max="12" width="26.7265625" bestFit="1" customWidth="1"/>
    <col min="13" max="13" width="12" bestFit="1" customWidth="1"/>
    <col min="14" max="14" width="11.7265625" bestFit="1" customWidth="1"/>
    <col min="15" max="15" width="16.453125" bestFit="1" customWidth="1"/>
    <col min="16" max="16" width="13.81640625" bestFit="1" customWidth="1"/>
    <col min="17" max="17" width="11.6328125" bestFit="1" customWidth="1"/>
    <col min="18" max="18" width="14.26953125" bestFit="1" customWidth="1"/>
    <col min="19" max="19" width="12.26953125" bestFit="1" customWidth="1"/>
  </cols>
  <sheetData>
    <row r="1" spans="1:19" x14ac:dyDescent="0.3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92</v>
      </c>
      <c r="Q1" t="s">
        <v>164</v>
      </c>
      <c r="R1" t="s">
        <v>165</v>
      </c>
      <c r="S1" t="s">
        <v>166</v>
      </c>
    </row>
    <row r="2" spans="1:19" x14ac:dyDescent="0.35">
      <c r="A2" s="37" t="s">
        <v>167</v>
      </c>
      <c r="B2" s="5"/>
      <c r="C2" s="5"/>
      <c r="D2" s="37"/>
      <c r="E2" s="37"/>
      <c r="F2" s="37" t="s">
        <v>500</v>
      </c>
      <c r="G2" s="37" t="s">
        <v>500</v>
      </c>
      <c r="H2">
        <v>0</v>
      </c>
      <c r="I2" s="5"/>
      <c r="J2" s="37"/>
      <c r="K2" s="37"/>
      <c r="L2" s="37"/>
      <c r="N2">
        <v>0</v>
      </c>
      <c r="O2" s="37" t="s">
        <v>183</v>
      </c>
      <c r="P2" s="37" t="s">
        <v>171</v>
      </c>
      <c r="R2" s="5"/>
    </row>
    <row r="3" spans="1:19" x14ac:dyDescent="0.35">
      <c r="A3" s="37" t="s">
        <v>167</v>
      </c>
      <c r="B3" s="5">
        <v>46023</v>
      </c>
      <c r="C3" s="5">
        <v>46023</v>
      </c>
      <c r="D3" s="37" t="s">
        <v>8</v>
      </c>
      <c r="E3" s="37" t="s">
        <v>9</v>
      </c>
      <c r="F3" s="37" t="s">
        <v>8</v>
      </c>
      <c r="G3" s="37" t="s">
        <v>9</v>
      </c>
      <c r="H3">
        <v>-350</v>
      </c>
      <c r="I3" s="5">
        <v>46023</v>
      </c>
      <c r="J3" s="37" t="s">
        <v>53</v>
      </c>
      <c r="K3" s="37" t="s">
        <v>173</v>
      </c>
      <c r="L3" s="37" t="s">
        <v>174</v>
      </c>
      <c r="M3">
        <v>-350</v>
      </c>
      <c r="N3">
        <v>0</v>
      </c>
      <c r="O3" s="37" t="s">
        <v>170</v>
      </c>
      <c r="P3" s="37" t="s">
        <v>94</v>
      </c>
      <c r="Q3">
        <v>132</v>
      </c>
      <c r="R3" s="5">
        <v>46023</v>
      </c>
      <c r="S3">
        <v>2026</v>
      </c>
    </row>
    <row r="4" spans="1:19" x14ac:dyDescent="0.35">
      <c r="A4" s="37" t="s">
        <v>167</v>
      </c>
      <c r="B4" s="5">
        <v>46054</v>
      </c>
      <c r="C4" s="5">
        <v>46054</v>
      </c>
      <c r="D4" s="37" t="s">
        <v>11</v>
      </c>
      <c r="E4" s="37" t="s">
        <v>12</v>
      </c>
      <c r="F4" s="37" t="s">
        <v>11</v>
      </c>
      <c r="G4" s="37" t="s">
        <v>12</v>
      </c>
      <c r="H4">
        <v>5200</v>
      </c>
      <c r="I4" s="5">
        <v>46054</v>
      </c>
      <c r="J4" s="37" t="s">
        <v>56</v>
      </c>
      <c r="K4" s="37" t="s">
        <v>173</v>
      </c>
      <c r="L4" s="37" t="s">
        <v>175</v>
      </c>
      <c r="M4">
        <v>5200</v>
      </c>
      <c r="N4">
        <v>0</v>
      </c>
      <c r="O4" s="37" t="s">
        <v>170</v>
      </c>
      <c r="P4" s="37" t="s">
        <v>104</v>
      </c>
      <c r="Q4">
        <v>101</v>
      </c>
      <c r="R4" s="5">
        <v>46054</v>
      </c>
      <c r="S4">
        <v>2026</v>
      </c>
    </row>
    <row r="5" spans="1:19" x14ac:dyDescent="0.35">
      <c r="A5" s="37" t="s">
        <v>167</v>
      </c>
      <c r="B5" s="5">
        <v>46082</v>
      </c>
      <c r="C5" s="5">
        <v>46082</v>
      </c>
      <c r="D5" s="37" t="s">
        <v>14</v>
      </c>
      <c r="E5" s="37" t="s">
        <v>15</v>
      </c>
      <c r="F5" s="37" t="s">
        <v>14</v>
      </c>
      <c r="G5" s="37" t="s">
        <v>15</v>
      </c>
      <c r="H5">
        <v>-45</v>
      </c>
      <c r="I5" s="5">
        <v>46082</v>
      </c>
      <c r="J5" s="37" t="s">
        <v>58</v>
      </c>
      <c r="K5" s="37" t="s">
        <v>176</v>
      </c>
      <c r="L5" s="37" t="s">
        <v>177</v>
      </c>
      <c r="M5">
        <v>-45</v>
      </c>
      <c r="N5">
        <v>0</v>
      </c>
      <c r="O5" s="37" t="s">
        <v>170</v>
      </c>
      <c r="P5" s="37" t="s">
        <v>171</v>
      </c>
      <c r="Q5">
        <v>73</v>
      </c>
      <c r="R5" s="5">
        <v>46082</v>
      </c>
      <c r="S5">
        <v>2026</v>
      </c>
    </row>
    <row r="6" spans="1:19" x14ac:dyDescent="0.35">
      <c r="A6" s="37" t="s">
        <v>167</v>
      </c>
      <c r="B6" s="5">
        <v>46082</v>
      </c>
      <c r="C6" s="5">
        <v>46082</v>
      </c>
      <c r="D6" s="37" t="s">
        <v>16</v>
      </c>
      <c r="E6" s="37" t="s">
        <v>17</v>
      </c>
      <c r="F6" s="37" t="s">
        <v>16</v>
      </c>
      <c r="G6" s="37" t="s">
        <v>17</v>
      </c>
      <c r="H6">
        <v>-7800</v>
      </c>
      <c r="I6" s="5">
        <v>46082</v>
      </c>
      <c r="J6" s="37" t="s">
        <v>61</v>
      </c>
      <c r="K6" s="37" t="s">
        <v>178</v>
      </c>
      <c r="L6" s="37" t="s">
        <v>179</v>
      </c>
      <c r="M6">
        <v>-7800</v>
      </c>
      <c r="N6">
        <v>0</v>
      </c>
      <c r="O6" s="37" t="s">
        <v>170</v>
      </c>
      <c r="P6" s="37" t="s">
        <v>100</v>
      </c>
      <c r="Q6">
        <v>73</v>
      </c>
      <c r="R6" s="5">
        <v>46082</v>
      </c>
      <c r="S6">
        <v>2026</v>
      </c>
    </row>
    <row r="7" spans="1:19" x14ac:dyDescent="0.35">
      <c r="A7" s="37" t="s">
        <v>167</v>
      </c>
      <c r="B7" s="5">
        <v>46113</v>
      </c>
      <c r="C7" s="5">
        <v>46113</v>
      </c>
      <c r="D7" s="37" t="s">
        <v>19</v>
      </c>
      <c r="E7" s="37" t="s">
        <v>20</v>
      </c>
      <c r="F7" s="37" t="s">
        <v>19</v>
      </c>
      <c r="G7" s="37" t="s">
        <v>20</v>
      </c>
      <c r="H7">
        <v>-1250</v>
      </c>
      <c r="I7" s="5">
        <v>46113</v>
      </c>
      <c r="J7" s="37" t="s">
        <v>64</v>
      </c>
      <c r="K7" s="37" t="s">
        <v>180</v>
      </c>
      <c r="L7" s="37" t="s">
        <v>181</v>
      </c>
      <c r="M7">
        <v>-1250</v>
      </c>
      <c r="N7">
        <v>0</v>
      </c>
      <c r="O7" s="37" t="s">
        <v>170</v>
      </c>
      <c r="P7" s="37" t="s">
        <v>171</v>
      </c>
      <c r="Q7">
        <v>42</v>
      </c>
      <c r="R7" s="5">
        <v>46113</v>
      </c>
      <c r="S7">
        <v>2026</v>
      </c>
    </row>
    <row r="8" spans="1:19" x14ac:dyDescent="0.35">
      <c r="A8" s="37" t="s">
        <v>167</v>
      </c>
      <c r="B8" s="5">
        <v>46143</v>
      </c>
      <c r="C8" s="5">
        <v>46143</v>
      </c>
      <c r="D8" s="37" t="s">
        <v>22</v>
      </c>
      <c r="E8" s="37" t="s">
        <v>23</v>
      </c>
      <c r="F8" s="37" t="s">
        <v>22</v>
      </c>
      <c r="G8" s="37" t="s">
        <v>23</v>
      </c>
      <c r="H8">
        <v>2300</v>
      </c>
      <c r="I8" s="5">
        <v>46143</v>
      </c>
      <c r="J8" s="37" t="s">
        <v>67</v>
      </c>
      <c r="K8" s="37" t="s">
        <v>173</v>
      </c>
      <c r="L8" s="37" t="s">
        <v>182</v>
      </c>
      <c r="M8">
        <v>2300</v>
      </c>
      <c r="N8">
        <v>0</v>
      </c>
      <c r="O8" s="37" t="s">
        <v>170</v>
      </c>
      <c r="P8" s="37" t="s">
        <v>171</v>
      </c>
      <c r="Q8">
        <v>12</v>
      </c>
      <c r="R8" s="5">
        <v>46143</v>
      </c>
      <c r="S8">
        <v>2026</v>
      </c>
    </row>
    <row r="9" spans="1:19" x14ac:dyDescent="0.35">
      <c r="A9" s="37" t="s">
        <v>167</v>
      </c>
      <c r="B9" s="5">
        <v>46143</v>
      </c>
      <c r="C9" s="5">
        <v>46143</v>
      </c>
      <c r="D9" s="37" t="s">
        <v>24</v>
      </c>
      <c r="E9" s="37" t="s">
        <v>25</v>
      </c>
      <c r="F9" s="37" t="s">
        <v>24</v>
      </c>
      <c r="G9" s="37" t="s">
        <v>25</v>
      </c>
      <c r="H9">
        <v>-300</v>
      </c>
      <c r="I9" s="5"/>
      <c r="J9" s="37"/>
      <c r="K9" s="37"/>
      <c r="L9" s="37"/>
      <c r="N9">
        <v>-300</v>
      </c>
      <c r="O9" s="37" t="s">
        <v>183</v>
      </c>
      <c r="P9" s="37" t="s">
        <v>171</v>
      </c>
      <c r="Q9">
        <v>12</v>
      </c>
      <c r="R9" s="5">
        <v>46143</v>
      </c>
      <c r="S9">
        <v>2026</v>
      </c>
    </row>
    <row r="10" spans="1:19" x14ac:dyDescent="0.35">
      <c r="A10" s="37" t="s">
        <v>167</v>
      </c>
      <c r="B10" s="5">
        <v>46174</v>
      </c>
      <c r="C10" s="5">
        <v>46174</v>
      </c>
      <c r="D10" s="37" t="s">
        <v>27</v>
      </c>
      <c r="E10" s="37" t="s">
        <v>28</v>
      </c>
      <c r="F10" s="37" t="s">
        <v>27</v>
      </c>
      <c r="G10" s="37" t="s">
        <v>28</v>
      </c>
      <c r="H10">
        <v>-120</v>
      </c>
      <c r="I10" s="5">
        <v>46174</v>
      </c>
      <c r="J10" s="37" t="s">
        <v>69</v>
      </c>
      <c r="K10" s="37" t="s">
        <v>184</v>
      </c>
      <c r="L10" s="37" t="s">
        <v>185</v>
      </c>
      <c r="M10">
        <v>-120</v>
      </c>
      <c r="N10">
        <v>0</v>
      </c>
      <c r="O10" s="37" t="s">
        <v>170</v>
      </c>
      <c r="P10" s="37" t="s">
        <v>96</v>
      </c>
      <c r="Q10">
        <v>-19</v>
      </c>
      <c r="R10" s="5">
        <v>46174</v>
      </c>
      <c r="S10">
        <v>2026</v>
      </c>
    </row>
    <row r="11" spans="1:19" x14ac:dyDescent="0.35">
      <c r="A11" s="37" t="s">
        <v>167</v>
      </c>
      <c r="B11" s="5">
        <v>46204</v>
      </c>
      <c r="C11" s="5">
        <v>46204</v>
      </c>
      <c r="D11" s="37" t="s">
        <v>30</v>
      </c>
      <c r="E11" s="37" t="s">
        <v>31</v>
      </c>
      <c r="F11" s="37" t="s">
        <v>30</v>
      </c>
      <c r="G11" s="37" t="s">
        <v>31</v>
      </c>
      <c r="H11">
        <v>3100</v>
      </c>
      <c r="I11" s="5">
        <v>46204</v>
      </c>
      <c r="J11" s="37" t="s">
        <v>72</v>
      </c>
      <c r="K11" s="37" t="s">
        <v>173</v>
      </c>
      <c r="L11" s="37" t="s">
        <v>186</v>
      </c>
      <c r="M11">
        <v>3100</v>
      </c>
      <c r="N11">
        <v>0</v>
      </c>
      <c r="O11" s="37" t="s">
        <v>170</v>
      </c>
      <c r="P11" s="37" t="s">
        <v>171</v>
      </c>
      <c r="Q11">
        <v>-49</v>
      </c>
      <c r="R11" s="5">
        <v>46204</v>
      </c>
      <c r="S11">
        <v>2026</v>
      </c>
    </row>
    <row r="12" spans="1:19" x14ac:dyDescent="0.35">
      <c r="A12" s="37" t="s">
        <v>167</v>
      </c>
      <c r="B12" s="5">
        <v>46235</v>
      </c>
      <c r="C12" s="5">
        <v>46235</v>
      </c>
      <c r="D12" s="37" t="s">
        <v>33</v>
      </c>
      <c r="E12" s="37" t="s">
        <v>34</v>
      </c>
      <c r="F12" s="37" t="s">
        <v>33</v>
      </c>
      <c r="G12" s="37" t="s">
        <v>34</v>
      </c>
      <c r="H12">
        <v>-500</v>
      </c>
      <c r="I12" s="5">
        <v>46235</v>
      </c>
      <c r="J12" s="37" t="s">
        <v>74</v>
      </c>
      <c r="K12" s="37" t="s">
        <v>187</v>
      </c>
      <c r="L12" s="37" t="s">
        <v>188</v>
      </c>
      <c r="M12">
        <v>-500</v>
      </c>
      <c r="N12">
        <v>0</v>
      </c>
      <c r="O12" s="37" t="s">
        <v>170</v>
      </c>
      <c r="P12" s="37" t="s">
        <v>171</v>
      </c>
      <c r="Q12">
        <v>-80</v>
      </c>
      <c r="R12" s="5">
        <v>46235</v>
      </c>
      <c r="S12">
        <v>2026</v>
      </c>
    </row>
    <row r="13" spans="1:19" x14ac:dyDescent="0.35">
      <c r="A13" s="37" t="s">
        <v>167</v>
      </c>
      <c r="B13" s="5">
        <v>46266</v>
      </c>
      <c r="C13" s="5">
        <v>46266</v>
      </c>
      <c r="D13" s="37" t="s">
        <v>36</v>
      </c>
      <c r="E13" s="37" t="s">
        <v>37</v>
      </c>
      <c r="F13" s="37" t="s">
        <v>36</v>
      </c>
      <c r="G13" s="37" t="s">
        <v>37</v>
      </c>
      <c r="H13">
        <v>25</v>
      </c>
      <c r="I13" s="5">
        <v>46266</v>
      </c>
      <c r="J13" s="37" t="s">
        <v>77</v>
      </c>
      <c r="K13" s="37" t="s">
        <v>189</v>
      </c>
      <c r="L13" s="37" t="s">
        <v>36</v>
      </c>
      <c r="M13">
        <v>25</v>
      </c>
      <c r="N13">
        <v>0</v>
      </c>
      <c r="O13" s="37" t="s">
        <v>170</v>
      </c>
      <c r="P13" s="37" t="s">
        <v>171</v>
      </c>
      <c r="Q13">
        <v>-111</v>
      </c>
      <c r="R13" s="5">
        <v>46266</v>
      </c>
      <c r="S13">
        <v>2026</v>
      </c>
    </row>
    <row r="14" spans="1:19" x14ac:dyDescent="0.35">
      <c r="A14" s="37" t="s">
        <v>167</v>
      </c>
      <c r="B14" s="5">
        <v>46296</v>
      </c>
      <c r="C14" s="5">
        <v>46296</v>
      </c>
      <c r="D14" s="37" t="s">
        <v>39</v>
      </c>
      <c r="E14" s="37" t="s">
        <v>40</v>
      </c>
      <c r="F14" s="37" t="s">
        <v>39</v>
      </c>
      <c r="G14" s="37" t="s">
        <v>40</v>
      </c>
      <c r="H14">
        <v>-89.45</v>
      </c>
      <c r="I14" s="5">
        <v>46296</v>
      </c>
      <c r="J14" s="37" t="s">
        <v>80</v>
      </c>
      <c r="K14" s="37" t="s">
        <v>190</v>
      </c>
      <c r="L14" s="37" t="s">
        <v>191</v>
      </c>
      <c r="M14">
        <v>-89.45</v>
      </c>
      <c r="N14">
        <v>0</v>
      </c>
      <c r="O14" s="37" t="s">
        <v>170</v>
      </c>
      <c r="P14" s="37" t="s">
        <v>98</v>
      </c>
      <c r="Q14">
        <v>-141</v>
      </c>
      <c r="R14" s="5">
        <v>46296</v>
      </c>
      <c r="S14">
        <v>2026</v>
      </c>
    </row>
    <row r="15" spans="1:19" x14ac:dyDescent="0.35">
      <c r="A15" s="37" t="s">
        <v>167</v>
      </c>
      <c r="B15" s="5"/>
      <c r="C15" s="5"/>
      <c r="D15" s="37"/>
      <c r="E15" s="37"/>
      <c r="F15" s="37"/>
      <c r="G15" s="37"/>
      <c r="I15" s="5">
        <v>46327</v>
      </c>
      <c r="J15" s="37" t="s">
        <v>83</v>
      </c>
      <c r="K15" s="37" t="s">
        <v>54</v>
      </c>
      <c r="L15" s="37" t="s">
        <v>175</v>
      </c>
      <c r="M15">
        <v>4700</v>
      </c>
      <c r="N15">
        <v>-4700</v>
      </c>
      <c r="O15" s="37" t="s">
        <v>172</v>
      </c>
      <c r="P15" s="37" t="s">
        <v>171</v>
      </c>
      <c r="Q15">
        <v>-172</v>
      </c>
      <c r="R15" s="5">
        <v>46327</v>
      </c>
      <c r="S15">
        <v>2026</v>
      </c>
    </row>
    <row r="16" spans="1:19" x14ac:dyDescent="0.35">
      <c r="A16" s="37" t="s">
        <v>167</v>
      </c>
      <c r="B16" s="5">
        <v>46327</v>
      </c>
      <c r="C16" s="5">
        <v>46327</v>
      </c>
      <c r="D16" s="37" t="s">
        <v>42</v>
      </c>
      <c r="E16" s="37" t="s">
        <v>43</v>
      </c>
      <c r="F16" s="37" t="s">
        <v>42</v>
      </c>
      <c r="G16" s="37" t="s">
        <v>43</v>
      </c>
      <c r="H16">
        <v>4750</v>
      </c>
      <c r="I16" s="5"/>
      <c r="J16" s="37"/>
      <c r="K16" s="37"/>
      <c r="L16" s="37"/>
      <c r="N16">
        <v>4750</v>
      </c>
      <c r="O16" s="37" t="s">
        <v>183</v>
      </c>
      <c r="P16" s="37" t="s">
        <v>104</v>
      </c>
      <c r="Q16">
        <v>-172</v>
      </c>
      <c r="R16" s="5">
        <v>46327</v>
      </c>
      <c r="S16">
        <v>2026</v>
      </c>
    </row>
    <row r="17" spans="1:19" x14ac:dyDescent="0.35">
      <c r="A17" s="37" t="s">
        <v>167</v>
      </c>
      <c r="B17" s="5">
        <v>46357</v>
      </c>
      <c r="C17" s="5">
        <v>46357</v>
      </c>
      <c r="D17" s="37" t="s">
        <v>45</v>
      </c>
      <c r="E17" s="37" t="s">
        <v>46</v>
      </c>
      <c r="F17" s="37" t="s">
        <v>45</v>
      </c>
      <c r="G17" s="37" t="s">
        <v>46</v>
      </c>
      <c r="H17">
        <v>-950</v>
      </c>
      <c r="I17" s="5">
        <v>46357</v>
      </c>
      <c r="J17" s="37" t="s">
        <v>84</v>
      </c>
      <c r="K17" s="37" t="s">
        <v>192</v>
      </c>
      <c r="L17" s="37" t="s">
        <v>193</v>
      </c>
      <c r="M17">
        <v>-950</v>
      </c>
      <c r="N17">
        <v>0</v>
      </c>
      <c r="O17" s="37" t="s">
        <v>170</v>
      </c>
      <c r="P17" s="37" t="s">
        <v>171</v>
      </c>
      <c r="Q17">
        <v>-202</v>
      </c>
      <c r="R17" s="5">
        <v>46357</v>
      </c>
      <c r="S17">
        <v>2026</v>
      </c>
    </row>
    <row r="18" spans="1:19" x14ac:dyDescent="0.35">
      <c r="A18" s="37" t="s">
        <v>167</v>
      </c>
      <c r="B18" s="5">
        <v>46357</v>
      </c>
      <c r="C18" s="5">
        <v>46357</v>
      </c>
      <c r="D18" s="37" t="s">
        <v>47</v>
      </c>
      <c r="E18" s="37" t="s">
        <v>48</v>
      </c>
      <c r="F18" s="37" t="s">
        <v>47</v>
      </c>
      <c r="G18" s="37" t="s">
        <v>48</v>
      </c>
      <c r="H18">
        <v>-15</v>
      </c>
      <c r="I18" s="5">
        <v>46357</v>
      </c>
      <c r="J18" s="37" t="s">
        <v>87</v>
      </c>
      <c r="K18" s="37" t="s">
        <v>168</v>
      </c>
      <c r="L18" s="37" t="s">
        <v>169</v>
      </c>
      <c r="M18">
        <v>-15</v>
      </c>
      <c r="N18">
        <v>0</v>
      </c>
      <c r="O18" s="37" t="s">
        <v>170</v>
      </c>
      <c r="P18" s="37" t="s">
        <v>499</v>
      </c>
      <c r="Q18">
        <v>-202</v>
      </c>
      <c r="R18" s="5">
        <v>46357</v>
      </c>
      <c r="S18">
        <v>2026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71BA-E92A-41A2-B4FE-1F00F105292F}">
  <dimension ref="A1:S4"/>
  <sheetViews>
    <sheetView workbookViewId="0">
      <selection activeCell="H2" sqref="H2:H3"/>
    </sheetView>
  </sheetViews>
  <sheetFormatPr baseColWidth="10" defaultRowHeight="14.5" x14ac:dyDescent="0.35"/>
  <cols>
    <col min="1" max="1" width="15.7265625" bestFit="1" customWidth="1"/>
    <col min="2" max="2" width="21.1796875" bestFit="1" customWidth="1"/>
    <col min="3" max="3" width="16" bestFit="1" customWidth="1"/>
    <col min="4" max="4" width="25.81640625" bestFit="1" customWidth="1"/>
    <col min="5" max="5" width="15.6328125" bestFit="1" customWidth="1"/>
    <col min="6" max="6" width="26.54296875" bestFit="1" customWidth="1"/>
    <col min="7" max="7" width="25.36328125" bestFit="1" customWidth="1"/>
    <col min="8" max="8" width="14.08984375" bestFit="1" customWidth="1"/>
    <col min="9" max="9" width="9.1796875" bestFit="1" customWidth="1"/>
    <col min="10" max="10" width="12.90625" bestFit="1" customWidth="1"/>
    <col min="11" max="11" width="12" bestFit="1" customWidth="1"/>
    <col min="12" max="12" width="24.453125" bestFit="1" customWidth="1"/>
    <col min="13" max="13" width="12" bestFit="1" customWidth="1"/>
    <col min="14" max="14" width="11.7265625" bestFit="1" customWidth="1"/>
    <col min="15" max="15" width="13.90625" bestFit="1" customWidth="1"/>
    <col min="16" max="16" width="12.7265625" bestFit="1" customWidth="1"/>
    <col min="17" max="17" width="11.6328125" bestFit="1" customWidth="1"/>
    <col min="18" max="18" width="14.26953125" bestFit="1" customWidth="1"/>
    <col min="19" max="19" width="12.26953125" bestFit="1" customWidth="1"/>
  </cols>
  <sheetData>
    <row r="1" spans="1:19" x14ac:dyDescent="0.3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92</v>
      </c>
      <c r="Q1" t="s">
        <v>164</v>
      </c>
      <c r="R1" t="s">
        <v>165</v>
      </c>
      <c r="S1" t="s">
        <v>166</v>
      </c>
    </row>
    <row r="2" spans="1:19" x14ac:dyDescent="0.35">
      <c r="A2" s="37" t="s">
        <v>167</v>
      </c>
      <c r="B2" s="5">
        <v>46143</v>
      </c>
      <c r="C2" s="5">
        <v>46143</v>
      </c>
      <c r="D2" s="37" t="s">
        <v>24</v>
      </c>
      <c r="E2" s="37" t="s">
        <v>25</v>
      </c>
      <c r="F2" s="37" t="s">
        <v>24</v>
      </c>
      <c r="G2" s="37" t="s">
        <v>25</v>
      </c>
      <c r="H2">
        <v>-300</v>
      </c>
      <c r="I2" s="5"/>
      <c r="J2" s="37"/>
      <c r="K2" s="37"/>
      <c r="L2" s="37"/>
      <c r="N2">
        <v>-300</v>
      </c>
      <c r="O2" s="37" t="s">
        <v>183</v>
      </c>
      <c r="P2" s="37" t="s">
        <v>171</v>
      </c>
      <c r="Q2">
        <v>12</v>
      </c>
      <c r="R2" s="5">
        <v>46143</v>
      </c>
      <c r="S2">
        <v>2026</v>
      </c>
    </row>
    <row r="3" spans="1:19" x14ac:dyDescent="0.35">
      <c r="A3" s="37" t="s">
        <v>167</v>
      </c>
      <c r="B3" s="5">
        <v>46327</v>
      </c>
      <c r="C3" s="5">
        <v>46327</v>
      </c>
      <c r="D3" s="37" t="s">
        <v>42</v>
      </c>
      <c r="E3" s="37" t="s">
        <v>43</v>
      </c>
      <c r="F3" s="37" t="s">
        <v>42</v>
      </c>
      <c r="G3" s="37" t="s">
        <v>43</v>
      </c>
      <c r="H3">
        <v>4750</v>
      </c>
      <c r="I3" s="5"/>
      <c r="J3" s="37"/>
      <c r="K3" s="37"/>
      <c r="L3" s="37"/>
      <c r="N3">
        <v>4750</v>
      </c>
      <c r="O3" s="37" t="s">
        <v>183</v>
      </c>
      <c r="P3" s="37" t="s">
        <v>104</v>
      </c>
      <c r="Q3">
        <v>-172</v>
      </c>
      <c r="R3" s="5">
        <v>46327</v>
      </c>
      <c r="S3">
        <v>2026</v>
      </c>
    </row>
    <row r="4" spans="1:19" x14ac:dyDescent="0.35">
      <c r="A4" s="37" t="s">
        <v>167</v>
      </c>
      <c r="B4" s="5">
        <v>46327</v>
      </c>
      <c r="C4" s="5">
        <v>46327</v>
      </c>
      <c r="D4" s="37" t="s">
        <v>42</v>
      </c>
      <c r="E4" s="37" t="s">
        <v>43</v>
      </c>
      <c r="F4" s="37" t="s">
        <v>42</v>
      </c>
      <c r="G4" s="37" t="s">
        <v>43</v>
      </c>
      <c r="H4">
        <v>8000</v>
      </c>
      <c r="I4" s="5"/>
      <c r="J4" s="37"/>
      <c r="K4" s="37"/>
      <c r="L4" s="37"/>
      <c r="N4">
        <v>8000</v>
      </c>
      <c r="O4" s="37" t="s">
        <v>183</v>
      </c>
      <c r="P4" s="37" t="s">
        <v>104</v>
      </c>
      <c r="Q4">
        <v>-172</v>
      </c>
      <c r="R4" s="5">
        <v>46327</v>
      </c>
      <c r="S4">
        <v>2026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8948-79FD-44F7-99C5-3A6794653DED}">
  <dimension ref="A1:G16"/>
  <sheetViews>
    <sheetView workbookViewId="0">
      <selection activeCell="A6" sqref="A6"/>
    </sheetView>
  </sheetViews>
  <sheetFormatPr baseColWidth="10" defaultRowHeight="14.5" x14ac:dyDescent="0.35"/>
  <cols>
    <col min="1" max="1" width="14.26953125" bestFit="1" customWidth="1"/>
    <col min="2" max="2" width="16.453125" bestFit="1" customWidth="1"/>
    <col min="3" max="3" width="7.81640625" bestFit="1" customWidth="1"/>
    <col min="4" max="4" width="17.7265625" bestFit="1" customWidth="1"/>
    <col min="5" max="5" width="15.6328125" bestFit="1" customWidth="1"/>
    <col min="6" max="6" width="15.36328125" bestFit="1" customWidth="1"/>
    <col min="7" max="7" width="14.6328125" bestFit="1" customWidth="1"/>
  </cols>
  <sheetData>
    <row r="1" spans="1:7" x14ac:dyDescent="0.35">
      <c r="A1" t="s">
        <v>165</v>
      </c>
      <c r="B1" t="s">
        <v>163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35">
      <c r="A2" s="5"/>
      <c r="B2" s="37" t="s">
        <v>183</v>
      </c>
      <c r="C2">
        <v>1</v>
      </c>
      <c r="D2">
        <v>0</v>
      </c>
      <c r="F2">
        <v>0</v>
      </c>
    </row>
    <row r="3" spans="1:7" x14ac:dyDescent="0.35">
      <c r="A3" s="5">
        <v>46023</v>
      </c>
      <c r="B3" s="37" t="s">
        <v>170</v>
      </c>
      <c r="C3">
        <v>1</v>
      </c>
      <c r="D3">
        <v>-350</v>
      </c>
      <c r="E3">
        <v>-350</v>
      </c>
      <c r="F3">
        <v>0</v>
      </c>
      <c r="G3">
        <v>132</v>
      </c>
    </row>
    <row r="4" spans="1:7" x14ac:dyDescent="0.35">
      <c r="A4" s="5">
        <v>46054</v>
      </c>
      <c r="B4" s="37" t="s">
        <v>170</v>
      </c>
      <c r="C4">
        <v>1</v>
      </c>
      <c r="D4">
        <v>5200</v>
      </c>
      <c r="E4">
        <v>5200</v>
      </c>
      <c r="F4">
        <v>0</v>
      </c>
      <c r="G4">
        <v>101</v>
      </c>
    </row>
    <row r="5" spans="1:7" x14ac:dyDescent="0.35">
      <c r="A5" s="5">
        <v>46082</v>
      </c>
      <c r="B5" s="37" t="s">
        <v>170</v>
      </c>
      <c r="C5">
        <v>2</v>
      </c>
      <c r="D5">
        <v>-7845</v>
      </c>
      <c r="E5">
        <v>-7845</v>
      </c>
      <c r="F5">
        <v>0</v>
      </c>
      <c r="G5">
        <v>73</v>
      </c>
    </row>
    <row r="6" spans="1:7" x14ac:dyDescent="0.35">
      <c r="A6" s="5">
        <v>46113</v>
      </c>
      <c r="B6" s="37" t="s">
        <v>170</v>
      </c>
      <c r="C6">
        <v>1</v>
      </c>
      <c r="D6">
        <v>-1250</v>
      </c>
      <c r="E6">
        <v>-1250</v>
      </c>
      <c r="F6">
        <v>0</v>
      </c>
      <c r="G6">
        <v>42</v>
      </c>
    </row>
    <row r="7" spans="1:7" x14ac:dyDescent="0.35">
      <c r="A7" s="5">
        <v>46143</v>
      </c>
      <c r="B7" s="37" t="s">
        <v>170</v>
      </c>
      <c r="C7">
        <v>1</v>
      </c>
      <c r="D7">
        <v>2300</v>
      </c>
      <c r="E7">
        <v>2300</v>
      </c>
      <c r="F7">
        <v>0</v>
      </c>
      <c r="G7">
        <v>12</v>
      </c>
    </row>
    <row r="8" spans="1:7" x14ac:dyDescent="0.35">
      <c r="A8" s="5">
        <v>46143</v>
      </c>
      <c r="B8" s="37" t="s">
        <v>183</v>
      </c>
      <c r="C8">
        <v>1</v>
      </c>
      <c r="D8">
        <v>-300</v>
      </c>
      <c r="F8">
        <v>-300</v>
      </c>
      <c r="G8">
        <v>12</v>
      </c>
    </row>
    <row r="9" spans="1:7" x14ac:dyDescent="0.35">
      <c r="A9" s="5">
        <v>46174</v>
      </c>
      <c r="B9" s="37" t="s">
        <v>170</v>
      </c>
      <c r="C9">
        <v>1</v>
      </c>
      <c r="D9">
        <v>-120</v>
      </c>
      <c r="E9">
        <v>-120</v>
      </c>
      <c r="F9">
        <v>0</v>
      </c>
      <c r="G9">
        <v>-19</v>
      </c>
    </row>
    <row r="10" spans="1:7" x14ac:dyDescent="0.35">
      <c r="A10" s="5">
        <v>46204</v>
      </c>
      <c r="B10" s="37" t="s">
        <v>170</v>
      </c>
      <c r="C10">
        <v>1</v>
      </c>
      <c r="D10">
        <v>3100</v>
      </c>
      <c r="E10">
        <v>3100</v>
      </c>
      <c r="F10">
        <v>0</v>
      </c>
      <c r="G10">
        <v>-49</v>
      </c>
    </row>
    <row r="11" spans="1:7" x14ac:dyDescent="0.35">
      <c r="A11" s="5">
        <v>46235</v>
      </c>
      <c r="B11" s="37" t="s">
        <v>170</v>
      </c>
      <c r="C11">
        <v>1</v>
      </c>
      <c r="D11">
        <v>-500</v>
      </c>
      <c r="E11">
        <v>-500</v>
      </c>
      <c r="F11">
        <v>0</v>
      </c>
      <c r="G11">
        <v>-80</v>
      </c>
    </row>
    <row r="12" spans="1:7" x14ac:dyDescent="0.35">
      <c r="A12" s="5">
        <v>46266</v>
      </c>
      <c r="B12" s="37" t="s">
        <v>170</v>
      </c>
      <c r="C12">
        <v>1</v>
      </c>
      <c r="D12">
        <v>25</v>
      </c>
      <c r="E12">
        <v>25</v>
      </c>
      <c r="F12">
        <v>0</v>
      </c>
      <c r="G12">
        <v>-111</v>
      </c>
    </row>
    <row r="13" spans="1:7" x14ac:dyDescent="0.35">
      <c r="A13" s="5">
        <v>46296</v>
      </c>
      <c r="B13" s="37" t="s">
        <v>170</v>
      </c>
      <c r="C13">
        <v>1</v>
      </c>
      <c r="D13">
        <v>-89.45</v>
      </c>
      <c r="E13">
        <v>-89.45</v>
      </c>
      <c r="F13">
        <v>0</v>
      </c>
      <c r="G13">
        <v>-141</v>
      </c>
    </row>
    <row r="14" spans="1:7" x14ac:dyDescent="0.35">
      <c r="A14" s="5">
        <v>46327</v>
      </c>
      <c r="B14" s="37" t="s">
        <v>172</v>
      </c>
      <c r="C14">
        <v>1</v>
      </c>
      <c r="E14">
        <v>4700</v>
      </c>
      <c r="F14">
        <v>-4700</v>
      </c>
      <c r="G14">
        <v>-172</v>
      </c>
    </row>
    <row r="15" spans="1:7" x14ac:dyDescent="0.35">
      <c r="A15" s="5">
        <v>46327</v>
      </c>
      <c r="B15" s="37" t="s">
        <v>183</v>
      </c>
      <c r="C15">
        <v>1</v>
      </c>
      <c r="D15">
        <v>4750</v>
      </c>
      <c r="F15">
        <v>4750</v>
      </c>
      <c r="G15">
        <v>-172</v>
      </c>
    </row>
    <row r="16" spans="1:7" x14ac:dyDescent="0.35">
      <c r="A16" s="5">
        <v>46357</v>
      </c>
      <c r="B16" s="37" t="s">
        <v>170</v>
      </c>
      <c r="C16">
        <v>2</v>
      </c>
      <c r="D16">
        <v>-965</v>
      </c>
      <c r="E16">
        <v>-965</v>
      </c>
      <c r="F16">
        <v>0</v>
      </c>
      <c r="G16">
        <v>-202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F5A6-48D3-4934-AE74-2C0B6570D6DD}">
  <dimension ref="A1:S2"/>
  <sheetViews>
    <sheetView topLeftCell="E1" workbookViewId="0">
      <selection activeCell="N3" sqref="N3"/>
    </sheetView>
  </sheetViews>
  <sheetFormatPr baseColWidth="10" defaultRowHeight="14.5" x14ac:dyDescent="0.35"/>
  <cols>
    <col min="1" max="1" width="15.7265625" bestFit="1" customWidth="1"/>
    <col min="2" max="2" width="21.1796875" bestFit="1" customWidth="1"/>
    <col min="3" max="3" width="16" bestFit="1" customWidth="1"/>
    <col min="4" max="4" width="16.81640625" bestFit="1" customWidth="1"/>
    <col min="5" max="5" width="15.6328125" bestFit="1" customWidth="1"/>
    <col min="6" max="6" width="26.54296875" bestFit="1" customWidth="1"/>
    <col min="7" max="7" width="25.36328125" bestFit="1" customWidth="1"/>
    <col min="8" max="8" width="14.08984375" bestFit="1" customWidth="1"/>
    <col min="9" max="9" width="9.453125" bestFit="1" customWidth="1"/>
    <col min="10" max="10" width="12.90625" bestFit="1" customWidth="1"/>
    <col min="11" max="11" width="12" bestFit="1" customWidth="1"/>
    <col min="12" max="12" width="24.54296875" bestFit="1" customWidth="1"/>
    <col min="13" max="13" width="12" bestFit="1" customWidth="1"/>
    <col min="14" max="14" width="11.7265625" bestFit="1" customWidth="1"/>
    <col min="15" max="15" width="16.453125" bestFit="1" customWidth="1"/>
    <col min="16" max="16" width="12.7265625" bestFit="1" customWidth="1"/>
    <col min="17" max="17" width="11.6328125" bestFit="1" customWidth="1"/>
    <col min="18" max="18" width="14.26953125" bestFit="1" customWidth="1"/>
    <col min="19" max="19" width="12.26953125" bestFit="1" customWidth="1"/>
  </cols>
  <sheetData>
    <row r="1" spans="1:19" x14ac:dyDescent="0.3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92</v>
      </c>
      <c r="Q1" t="s">
        <v>164</v>
      </c>
      <c r="R1" t="s">
        <v>165</v>
      </c>
      <c r="S1" t="s">
        <v>166</v>
      </c>
    </row>
    <row r="2" spans="1:19" x14ac:dyDescent="0.35">
      <c r="A2" t="s">
        <v>167</v>
      </c>
      <c r="B2" s="5"/>
      <c r="C2" s="5"/>
      <c r="I2" s="5">
        <v>46327</v>
      </c>
      <c r="J2" t="s">
        <v>83</v>
      </c>
      <c r="K2" t="s">
        <v>54</v>
      </c>
      <c r="L2" t="s">
        <v>175</v>
      </c>
      <c r="M2">
        <v>4700</v>
      </c>
      <c r="N2">
        <v>-4700</v>
      </c>
      <c r="O2" t="s">
        <v>172</v>
      </c>
      <c r="P2" t="s">
        <v>171</v>
      </c>
      <c r="Q2">
        <v>-172</v>
      </c>
      <c r="R2" s="5">
        <v>46327</v>
      </c>
      <c r="S2">
        <v>2026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7157-A7CE-48D8-BADE-CCF235102A90}">
  <dimension ref="A1:A29"/>
  <sheetViews>
    <sheetView topLeftCell="A8" workbookViewId="0">
      <selection activeCell="A23" sqref="A23"/>
    </sheetView>
  </sheetViews>
  <sheetFormatPr baseColWidth="10" defaultRowHeight="14.5" x14ac:dyDescent="0.35"/>
  <cols>
    <col min="1" max="1" width="163.6328125" customWidth="1"/>
  </cols>
  <sheetData>
    <row r="1" spans="1:1" ht="15.5" x14ac:dyDescent="0.35">
      <c r="A1" s="8" t="s">
        <v>118</v>
      </c>
    </row>
    <row r="2" spans="1:1" ht="169" x14ac:dyDescent="0.35">
      <c r="A2" s="9" t="s">
        <v>119</v>
      </c>
    </row>
    <row r="4" spans="1:1" ht="15.5" x14ac:dyDescent="0.35">
      <c r="A4" s="8" t="s">
        <v>117</v>
      </c>
    </row>
    <row r="5" spans="1:1" ht="409.5" x14ac:dyDescent="0.35">
      <c r="A5" s="10" t="s">
        <v>142</v>
      </c>
    </row>
    <row r="7" spans="1:1" ht="15.5" x14ac:dyDescent="0.35">
      <c r="A7" s="8" t="s">
        <v>120</v>
      </c>
    </row>
    <row r="8" spans="1:1" ht="409.5" x14ac:dyDescent="0.35">
      <c r="A8" s="10" t="s">
        <v>143</v>
      </c>
    </row>
    <row r="10" spans="1:1" ht="15.5" x14ac:dyDescent="0.35">
      <c r="A10" s="8" t="s">
        <v>121</v>
      </c>
    </row>
    <row r="11" spans="1:1" ht="409.5" x14ac:dyDescent="0.35">
      <c r="A11" s="10" t="s">
        <v>144</v>
      </c>
    </row>
    <row r="13" spans="1:1" ht="15.5" x14ac:dyDescent="0.35">
      <c r="A13" s="8" t="s">
        <v>122</v>
      </c>
    </row>
    <row r="14" spans="1:1" ht="409.5" x14ac:dyDescent="0.35">
      <c r="A14" s="10" t="s">
        <v>137</v>
      </c>
    </row>
    <row r="16" spans="1:1" ht="15.5" x14ac:dyDescent="0.35">
      <c r="A16" s="8" t="s">
        <v>123</v>
      </c>
    </row>
    <row r="17" spans="1:1" ht="195" x14ac:dyDescent="0.35">
      <c r="A17" s="9" t="s">
        <v>124</v>
      </c>
    </row>
    <row r="19" spans="1:1" ht="15.5" x14ac:dyDescent="0.35">
      <c r="A19" s="8" t="s">
        <v>125</v>
      </c>
    </row>
    <row r="20" spans="1:1" ht="65" x14ac:dyDescent="0.35">
      <c r="A20" s="9" t="s">
        <v>126</v>
      </c>
    </row>
    <row r="22" spans="1:1" ht="15.5" x14ac:dyDescent="0.35">
      <c r="A22" s="8" t="s">
        <v>127</v>
      </c>
    </row>
    <row r="23" spans="1:1" ht="143" x14ac:dyDescent="0.35">
      <c r="A23" s="9" t="s">
        <v>128</v>
      </c>
    </row>
    <row r="25" spans="1:1" ht="15.5" x14ac:dyDescent="0.35">
      <c r="A25" s="8" t="s">
        <v>129</v>
      </c>
    </row>
    <row r="26" spans="1:1" ht="286" x14ac:dyDescent="0.35">
      <c r="A26" s="9" t="s">
        <v>130</v>
      </c>
    </row>
    <row r="28" spans="1:1" ht="15.5" x14ac:dyDescent="0.35">
      <c r="A28" s="8" t="s">
        <v>131</v>
      </c>
    </row>
    <row r="29" spans="1:1" ht="364" x14ac:dyDescent="0.35">
      <c r="A29" s="9" t="s">
        <v>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AF90-B5DE-4611-812A-B3DB461B83CE}">
  <dimension ref="B2:H269"/>
  <sheetViews>
    <sheetView workbookViewId="0">
      <selection activeCell="D1" sqref="D1"/>
    </sheetView>
  </sheetViews>
  <sheetFormatPr baseColWidth="10" defaultRowHeight="14.5" x14ac:dyDescent="0.35"/>
  <cols>
    <col min="1" max="1" width="3.6328125" customWidth="1"/>
    <col min="2" max="2" width="9.08984375" customWidth="1"/>
    <col min="3" max="8" width="23.6328125" customWidth="1"/>
  </cols>
  <sheetData>
    <row r="2" spans="2:8" ht="23.5" x14ac:dyDescent="0.55000000000000004">
      <c r="B2" s="35" t="s">
        <v>199</v>
      </c>
      <c r="C2" s="21"/>
      <c r="D2" s="21"/>
      <c r="E2" s="21"/>
      <c r="F2" s="21"/>
      <c r="G2" s="21"/>
      <c r="H2" s="21"/>
    </row>
    <row r="3" spans="2:8" x14ac:dyDescent="0.35">
      <c r="B3" s="36" t="s">
        <v>200</v>
      </c>
      <c r="C3" s="21"/>
      <c r="D3" s="21"/>
      <c r="E3" s="21"/>
      <c r="F3" s="21"/>
      <c r="G3" s="21"/>
      <c r="H3" s="21"/>
    </row>
    <row r="5" spans="2:8" x14ac:dyDescent="0.35">
      <c r="B5" s="29" t="s">
        <v>201</v>
      </c>
      <c r="C5" s="21"/>
      <c r="D5" s="21"/>
      <c r="E5" s="21"/>
      <c r="F5" s="21"/>
      <c r="G5" s="21"/>
      <c r="H5" s="21"/>
    </row>
    <row r="6" spans="2:8" x14ac:dyDescent="0.35">
      <c r="B6" t="s">
        <v>202</v>
      </c>
      <c r="C6" s="21" t="s">
        <v>203</v>
      </c>
      <c r="D6" s="21"/>
      <c r="E6" s="21"/>
      <c r="F6" s="21"/>
      <c r="G6" s="21"/>
      <c r="H6" s="21"/>
    </row>
    <row r="7" spans="2:8" x14ac:dyDescent="0.35">
      <c r="B7" t="s">
        <v>204</v>
      </c>
      <c r="C7" s="21" t="s">
        <v>205</v>
      </c>
      <c r="D7" s="21"/>
      <c r="E7" s="21"/>
      <c r="F7" s="21"/>
      <c r="G7" s="21"/>
      <c r="H7" s="21"/>
    </row>
    <row r="8" spans="2:8" x14ac:dyDescent="0.35">
      <c r="B8" t="s">
        <v>206</v>
      </c>
      <c r="C8" s="21" t="s">
        <v>207</v>
      </c>
      <c r="D8" s="21"/>
      <c r="E8" s="21"/>
      <c r="F8" s="21"/>
      <c r="G8" s="21"/>
      <c r="H8" s="21"/>
    </row>
    <row r="9" spans="2:8" x14ac:dyDescent="0.35">
      <c r="B9" t="s">
        <v>208</v>
      </c>
      <c r="C9" s="21" t="s">
        <v>209</v>
      </c>
      <c r="D9" s="21"/>
      <c r="E9" s="21"/>
      <c r="F9" s="21"/>
      <c r="G9" s="21"/>
      <c r="H9" s="21"/>
    </row>
    <row r="10" spans="2:8" x14ac:dyDescent="0.35">
      <c r="B10" t="s">
        <v>210</v>
      </c>
      <c r="C10" s="21" t="s">
        <v>211</v>
      </c>
      <c r="D10" s="21"/>
      <c r="E10" s="21"/>
      <c r="F10" s="21"/>
      <c r="G10" s="21"/>
      <c r="H10" s="21"/>
    </row>
    <row r="11" spans="2:8" x14ac:dyDescent="0.35">
      <c r="B11" t="s">
        <v>212</v>
      </c>
      <c r="C11" s="21" t="s">
        <v>213</v>
      </c>
      <c r="D11" s="21"/>
      <c r="E11" s="21"/>
      <c r="F11" s="21"/>
      <c r="G11" s="21"/>
      <c r="H11" s="21"/>
    </row>
    <row r="12" spans="2:8" x14ac:dyDescent="0.35">
      <c r="B12" t="s">
        <v>214</v>
      </c>
      <c r="C12" s="21" t="s">
        <v>215</v>
      </c>
      <c r="D12" s="21"/>
      <c r="E12" s="21"/>
      <c r="F12" s="21"/>
      <c r="G12" s="21"/>
      <c r="H12" s="21"/>
    </row>
    <row r="13" spans="2:8" x14ac:dyDescent="0.35">
      <c r="B13" t="s">
        <v>216</v>
      </c>
      <c r="C13" s="21" t="s">
        <v>217</v>
      </c>
      <c r="D13" s="21"/>
      <c r="E13" s="21"/>
      <c r="F13" s="21"/>
      <c r="G13" s="21"/>
      <c r="H13" s="21"/>
    </row>
    <row r="16" spans="2:8" x14ac:dyDescent="0.35">
      <c r="B16" s="34" t="s">
        <v>218</v>
      </c>
      <c r="C16" s="21"/>
      <c r="D16" s="21"/>
      <c r="E16" s="21"/>
      <c r="F16" s="21"/>
      <c r="G16" s="21"/>
      <c r="H16" s="21"/>
    </row>
    <row r="17" spans="2:8" x14ac:dyDescent="0.35">
      <c r="B17" s="21"/>
      <c r="C17" s="21"/>
      <c r="D17" s="21"/>
      <c r="E17" s="21"/>
      <c r="F17" s="21"/>
      <c r="G17" s="21"/>
      <c r="H17" s="21"/>
    </row>
    <row r="18" spans="2:8" x14ac:dyDescent="0.35">
      <c r="B18" s="21"/>
      <c r="C18" s="21"/>
      <c r="D18" s="21"/>
      <c r="E18" s="21"/>
      <c r="F18" s="21"/>
      <c r="G18" s="21"/>
      <c r="H18" s="21"/>
    </row>
    <row r="19" spans="2:8" x14ac:dyDescent="0.35">
      <c r="B19" s="21"/>
      <c r="C19" s="21"/>
      <c r="D19" s="21"/>
      <c r="E19" s="21"/>
      <c r="F19" s="21"/>
      <c r="G19" s="21"/>
      <c r="H19" s="21"/>
    </row>
    <row r="20" spans="2:8" x14ac:dyDescent="0.35">
      <c r="B20" s="21"/>
      <c r="C20" s="21"/>
      <c r="D20" s="21"/>
      <c r="E20" s="21"/>
      <c r="F20" s="21"/>
      <c r="G20" s="21"/>
      <c r="H20" s="21"/>
    </row>
    <row r="25" spans="2:8" ht="17" x14ac:dyDescent="0.4">
      <c r="B25" s="30" t="s">
        <v>219</v>
      </c>
      <c r="C25" s="21"/>
      <c r="D25" s="21"/>
      <c r="E25" s="21"/>
      <c r="F25" s="21"/>
      <c r="G25" s="21"/>
      <c r="H25" s="21"/>
    </row>
    <row r="26" spans="2:8" ht="340" customHeight="1" x14ac:dyDescent="0.35">
      <c r="B26" s="32" t="s">
        <v>220</v>
      </c>
      <c r="C26" s="33"/>
      <c r="D26" s="33"/>
      <c r="E26" s="33"/>
      <c r="F26" s="33"/>
      <c r="G26" s="33"/>
      <c r="H26" s="33"/>
    </row>
    <row r="27" spans="2:8" ht="150" customHeight="1" x14ac:dyDescent="0.35">
      <c r="B27" s="32" t="s">
        <v>221</v>
      </c>
      <c r="C27" s="33"/>
      <c r="D27" s="33"/>
      <c r="E27" s="33"/>
      <c r="F27" s="33"/>
      <c r="G27" s="33"/>
      <c r="H27" s="33"/>
    </row>
    <row r="28" spans="2:8" ht="340" customHeight="1" x14ac:dyDescent="0.35">
      <c r="B28" s="32" t="s">
        <v>222</v>
      </c>
      <c r="C28" s="33"/>
      <c r="D28" s="33"/>
      <c r="E28" s="33"/>
      <c r="F28" s="33"/>
      <c r="G28" s="33"/>
      <c r="H28" s="33"/>
    </row>
    <row r="65" spans="2:8" ht="17" x14ac:dyDescent="0.4">
      <c r="B65" s="30" t="s">
        <v>223</v>
      </c>
      <c r="C65" s="30"/>
      <c r="D65" s="30"/>
      <c r="E65" s="30"/>
      <c r="F65" s="30"/>
      <c r="G65" s="30"/>
      <c r="H65" s="30"/>
    </row>
    <row r="66" spans="2:8" x14ac:dyDescent="0.35">
      <c r="B66" s="11" t="s">
        <v>224</v>
      </c>
      <c r="C66" s="11" t="s">
        <v>225</v>
      </c>
      <c r="D66" s="11" t="s">
        <v>226</v>
      </c>
      <c r="E66" s="11" t="s">
        <v>291</v>
      </c>
      <c r="F66" s="11" t="s">
        <v>292</v>
      </c>
      <c r="G66" s="11" t="s">
        <v>227</v>
      </c>
      <c r="H66" s="11" t="s">
        <v>293</v>
      </c>
    </row>
    <row r="67" spans="2:8" ht="60" x14ac:dyDescent="0.35">
      <c r="B67" s="12">
        <v>1</v>
      </c>
      <c r="C67" s="12" t="s">
        <v>228</v>
      </c>
      <c r="D67" s="12" t="s">
        <v>237</v>
      </c>
      <c r="E67" s="12">
        <f>COUNTA(Reconciliation_Output[BankTransactionDate])</f>
        <v>15</v>
      </c>
      <c r="F67" s="12" t="s">
        <v>229</v>
      </c>
      <c r="G67" s="12" t="s">
        <v>230</v>
      </c>
      <c r="H67" s="12" t="s">
        <v>231</v>
      </c>
    </row>
    <row r="68" spans="2:8" ht="48" x14ac:dyDescent="0.35">
      <c r="B68" s="12">
        <v>2</v>
      </c>
      <c r="C68" s="12" t="s">
        <v>232</v>
      </c>
      <c r="D68" s="12" t="s">
        <v>238</v>
      </c>
      <c r="E68" s="12">
        <f>COUNTA(Reconciliation_Output[GLDate])</f>
        <v>14</v>
      </c>
      <c r="F68" s="12" t="s">
        <v>233</v>
      </c>
      <c r="G68" s="12" t="s">
        <v>230</v>
      </c>
      <c r="H68" s="12" t="s">
        <v>231</v>
      </c>
    </row>
    <row r="69" spans="2:8" ht="60" x14ac:dyDescent="0.35">
      <c r="B69" s="12">
        <v>3</v>
      </c>
      <c r="C69" s="12" t="s">
        <v>240</v>
      </c>
      <c r="D69" s="12" t="s">
        <v>239</v>
      </c>
      <c r="E69" s="12">
        <f>COUNTIF(Reconciliation_Output[MatchStatus],"EXACT_MATCH")+COUNTIF(Reconciliation_Output[MatchStatus],"PARTIAL_MATCH")</f>
        <v>13</v>
      </c>
      <c r="F69" s="12" t="s">
        <v>241</v>
      </c>
      <c r="G69" s="12" t="s">
        <v>230</v>
      </c>
      <c r="H69" s="12" t="s">
        <v>234</v>
      </c>
    </row>
    <row r="70" spans="2:8" ht="36" x14ac:dyDescent="0.35">
      <c r="B70" s="12">
        <v>4</v>
      </c>
      <c r="C70" s="12" t="s">
        <v>242</v>
      </c>
      <c r="D70" s="12" t="s">
        <v>243</v>
      </c>
      <c r="E70" s="12">
        <f>COUNTIF(Reconciliation_Output[MatchStatus],"MISSING_IN_GL")+COUNTIF(Reconciliation_Output[MatchStatus],"MISSING_IN_BANK")+COUNTIF(Reconciliation_Output[MatchStatus],"VARIANCE")</f>
        <v>4</v>
      </c>
      <c r="F70" s="12" t="s">
        <v>235</v>
      </c>
      <c r="G70" s="12" t="s">
        <v>230</v>
      </c>
      <c r="H70" s="12" t="s">
        <v>244</v>
      </c>
    </row>
    <row r="71" spans="2:8" ht="48" x14ac:dyDescent="0.35">
      <c r="B71" s="12">
        <v>5</v>
      </c>
      <c r="C71" s="12" t="s">
        <v>236</v>
      </c>
      <c r="D71" s="12" t="s">
        <v>245</v>
      </c>
      <c r="E71" s="12" t="e" cm="1">
        <f t="array" ref="E71" xml:space="preserve"> MATCHED / total registros</f>
        <v>#NAME?</v>
      </c>
      <c r="F71" s="12" t="s">
        <v>246</v>
      </c>
      <c r="G71" s="13">
        <v>0</v>
      </c>
      <c r="H71" s="12" t="s">
        <v>247</v>
      </c>
    </row>
    <row r="72" spans="2:8" ht="48" x14ac:dyDescent="0.35">
      <c r="B72" s="12">
        <v>6</v>
      </c>
      <c r="C72" s="12" t="s">
        <v>248</v>
      </c>
      <c r="D72" s="12" t="s">
        <v>249</v>
      </c>
      <c r="E72" s="12">
        <f>SUMIFS(Reconciliation_Output[Difference],Reconciliation_Output[MatchStatus],"VARIANCE")</f>
        <v>0</v>
      </c>
      <c r="F72" s="12" t="s">
        <v>250</v>
      </c>
      <c r="G72" s="12" t="s">
        <v>251</v>
      </c>
      <c r="H72" s="12" t="s">
        <v>252</v>
      </c>
    </row>
    <row r="73" spans="2:8" ht="60" x14ac:dyDescent="0.35">
      <c r="B73" s="12">
        <v>7</v>
      </c>
      <c r="C73" s="12" t="s">
        <v>253</v>
      </c>
      <c r="D73" s="12" t="s">
        <v>254</v>
      </c>
      <c r="E73" s="12">
        <f>SUMIFS(Reconciliation_Output[GLAmount],Reconciliation_Output[MatchStatus],"MISSING_IN_BANK",Reconciliation_Output[GLAmount],"&lt;0")</f>
        <v>0</v>
      </c>
      <c r="F73" s="12" t="s">
        <v>255</v>
      </c>
      <c r="G73" s="12" t="s">
        <v>251</v>
      </c>
      <c r="H73" s="12" t="s">
        <v>256</v>
      </c>
    </row>
    <row r="74" spans="2:8" ht="60" x14ac:dyDescent="0.35">
      <c r="B74" s="12">
        <v>8</v>
      </c>
      <c r="C74" s="12" t="s">
        <v>257</v>
      </c>
      <c r="D74" s="12" t="s">
        <v>258</v>
      </c>
      <c r="E74" s="12">
        <f>SUMIFS(Reconciliation_Output[GLAmount],Reconciliation_Output[MatchStatus],"MISSING_IN_BANK",Reconciliation_Output[GLAmount],"&gt;0")</f>
        <v>4700</v>
      </c>
      <c r="F74" s="12" t="s">
        <v>259</v>
      </c>
      <c r="G74" s="12" t="s">
        <v>260</v>
      </c>
      <c r="H74" s="12" t="s">
        <v>261</v>
      </c>
    </row>
    <row r="75" spans="2:8" ht="36" x14ac:dyDescent="0.35">
      <c r="B75" s="12">
        <v>9</v>
      </c>
      <c r="C75" s="12" t="s">
        <v>262</v>
      </c>
      <c r="D75" s="12" t="s">
        <v>263</v>
      </c>
      <c r="E75" s="12">
        <f>SUMIFS(Reconciliation_Output[BankAmount],Reconciliation_Output[Category],"Bank Fees")</f>
        <v>0</v>
      </c>
      <c r="F75" s="12" t="s">
        <v>264</v>
      </c>
      <c r="G75" s="12" t="s">
        <v>251</v>
      </c>
      <c r="H75" s="12" t="s">
        <v>265</v>
      </c>
    </row>
    <row r="76" spans="2:8" ht="36" x14ac:dyDescent="0.35">
      <c r="B76" s="12">
        <v>10</v>
      </c>
      <c r="C76" s="12" t="s">
        <v>266</v>
      </c>
      <c r="D76" s="12" t="s">
        <v>267</v>
      </c>
      <c r="E76" s="12">
        <f>SUMIFS(Reconciliation_Output[BankAmount],Reconciliation_Output[BankAmount],"&gt;0")</f>
        <v>15375</v>
      </c>
      <c r="F76" s="12" t="s">
        <v>268</v>
      </c>
      <c r="G76" s="12" t="s">
        <v>260</v>
      </c>
      <c r="H76" s="12" t="s">
        <v>269</v>
      </c>
    </row>
    <row r="77" spans="2:8" ht="36" x14ac:dyDescent="0.35">
      <c r="B77" s="12">
        <v>11</v>
      </c>
      <c r="C77" s="12" t="s">
        <v>270</v>
      </c>
      <c r="D77" s="12" t="s">
        <v>271</v>
      </c>
      <c r="E77" s="12">
        <f>SUMIFS(Reconciliation_Output[BankAmount],Reconciliation_Output[BankAmount],"&lt;0")</f>
        <v>-11419.45</v>
      </c>
      <c r="F77" s="12" t="s">
        <v>272</v>
      </c>
      <c r="G77" s="12" t="s">
        <v>251</v>
      </c>
      <c r="H77" s="12" t="s">
        <v>273</v>
      </c>
    </row>
    <row r="78" spans="2:8" ht="24" x14ac:dyDescent="0.35">
      <c r="B78" s="12">
        <v>12</v>
      </c>
      <c r="C78" s="12" t="s">
        <v>274</v>
      </c>
      <c r="D78" s="12" t="s">
        <v>275</v>
      </c>
      <c r="E78" s="12">
        <f>SUM(Reconciliation_Output[BankAmount])</f>
        <v>3955.55</v>
      </c>
      <c r="F78" s="12" t="s">
        <v>276</v>
      </c>
      <c r="G78" s="12" t="s">
        <v>251</v>
      </c>
      <c r="H78" s="12" t="s">
        <v>277</v>
      </c>
    </row>
    <row r="79" spans="2:8" ht="24" x14ac:dyDescent="0.35">
      <c r="B79" s="12">
        <v>13</v>
      </c>
      <c r="C79" s="12" t="s">
        <v>278</v>
      </c>
      <c r="D79" s="12" t="s">
        <v>279</v>
      </c>
      <c r="E79" s="12">
        <f>AVERAGE(Reconciliation_Output[AgingDays])</f>
        <v>-43.9375</v>
      </c>
      <c r="F79" s="12" t="s">
        <v>280</v>
      </c>
      <c r="G79" s="12" t="s">
        <v>281</v>
      </c>
      <c r="H79" s="12" t="s">
        <v>282</v>
      </c>
    </row>
    <row r="80" spans="2:8" ht="48" x14ac:dyDescent="0.35">
      <c r="B80" s="12">
        <v>14</v>
      </c>
      <c r="C80" s="12" t="s">
        <v>283</v>
      </c>
      <c r="D80" s="12" t="s">
        <v>284</v>
      </c>
      <c r="E80" s="12">
        <f>COUNTIF(Reconciliation_Output[MatchStatus],"&lt;&gt;EXACT_MATCH")</f>
        <v>4</v>
      </c>
      <c r="F80" s="12" t="s">
        <v>285</v>
      </c>
      <c r="G80" s="12" t="s">
        <v>230</v>
      </c>
      <c r="H80" s="12" t="s">
        <v>286</v>
      </c>
    </row>
    <row r="81" spans="2:8" ht="48" x14ac:dyDescent="0.35">
      <c r="B81" s="12">
        <v>15</v>
      </c>
      <c r="C81" s="12" t="s">
        <v>287</v>
      </c>
      <c r="D81" s="12" t="s">
        <v>288</v>
      </c>
      <c r="E81" s="12" cm="1">
        <f t="array" ref="E81">SUMPRODUCT(((Reconciliation_Output[MatchStatus]="VARIANCE")+(Reconciliation_Output[AgingDays]&gt;60))*1)</f>
        <v>4</v>
      </c>
      <c r="F81" s="12" t="s">
        <v>289</v>
      </c>
      <c r="G81" s="12" t="s">
        <v>230</v>
      </c>
      <c r="H81" s="12" t="s">
        <v>290</v>
      </c>
    </row>
    <row r="86" spans="2:8" ht="17" x14ac:dyDescent="0.4">
      <c r="B86" s="30" t="s">
        <v>294</v>
      </c>
      <c r="C86" s="21"/>
      <c r="D86" s="21"/>
      <c r="E86" s="21"/>
      <c r="F86" s="21"/>
      <c r="G86" s="21"/>
      <c r="H86" s="21"/>
    </row>
    <row r="88" spans="2:8" x14ac:dyDescent="0.35">
      <c r="B88" s="29" t="s">
        <v>295</v>
      </c>
      <c r="C88" s="21"/>
      <c r="D88" s="21"/>
      <c r="E88" s="21"/>
      <c r="F88" s="21"/>
      <c r="G88" s="21"/>
      <c r="H88" s="21"/>
    </row>
    <row r="89" spans="2:8" x14ac:dyDescent="0.35">
      <c r="B89" t="s">
        <v>296</v>
      </c>
      <c r="C89" t="s">
        <v>297</v>
      </c>
    </row>
    <row r="90" spans="2:8" x14ac:dyDescent="0.35">
      <c r="B90" t="s">
        <v>298</v>
      </c>
      <c r="C90" t="s">
        <v>299</v>
      </c>
    </row>
    <row r="91" spans="2:8" x14ac:dyDescent="0.35">
      <c r="B91" t="s">
        <v>300</v>
      </c>
      <c r="C91" t="s">
        <v>301</v>
      </c>
    </row>
    <row r="92" spans="2:8" x14ac:dyDescent="0.35">
      <c r="B92" t="s">
        <v>302</v>
      </c>
      <c r="C92" t="s">
        <v>303</v>
      </c>
    </row>
    <row r="93" spans="2:8" x14ac:dyDescent="0.35">
      <c r="B93" t="s">
        <v>304</v>
      </c>
      <c r="C93" s="14" t="s">
        <v>305</v>
      </c>
    </row>
    <row r="95" spans="2:8" x14ac:dyDescent="0.35">
      <c r="B95" s="29" t="s">
        <v>306</v>
      </c>
      <c r="C95" s="21"/>
      <c r="D95" s="21"/>
      <c r="E95" s="21"/>
      <c r="F95" s="21"/>
      <c r="G95" s="21"/>
      <c r="H95" s="21"/>
    </row>
    <row r="96" spans="2:8" x14ac:dyDescent="0.35">
      <c r="B96" t="s">
        <v>296</v>
      </c>
      <c r="C96" t="s">
        <v>297</v>
      </c>
    </row>
    <row r="97" spans="2:8" x14ac:dyDescent="0.35">
      <c r="B97" t="s">
        <v>298</v>
      </c>
      <c r="C97" t="s">
        <v>307</v>
      </c>
    </row>
    <row r="98" spans="2:8" x14ac:dyDescent="0.35">
      <c r="B98" t="s">
        <v>300</v>
      </c>
      <c r="C98" t="s">
        <v>308</v>
      </c>
    </row>
    <row r="99" spans="2:8" x14ac:dyDescent="0.35">
      <c r="B99" t="s">
        <v>302</v>
      </c>
      <c r="C99" t="s">
        <v>309</v>
      </c>
    </row>
    <row r="100" spans="2:8" x14ac:dyDescent="0.35">
      <c r="B100" t="s">
        <v>304</v>
      </c>
      <c r="C100" s="14" t="s">
        <v>310</v>
      </c>
    </row>
    <row r="102" spans="2:8" x14ac:dyDescent="0.35">
      <c r="B102" s="29" t="s">
        <v>311</v>
      </c>
      <c r="C102" s="21"/>
      <c r="D102" s="21"/>
      <c r="E102" s="21"/>
      <c r="F102" s="21"/>
      <c r="G102" s="21"/>
      <c r="H102" s="21"/>
    </row>
    <row r="103" spans="2:8" x14ac:dyDescent="0.35">
      <c r="B103" t="s">
        <v>296</v>
      </c>
      <c r="C103" t="s">
        <v>312</v>
      </c>
    </row>
    <row r="104" spans="2:8" x14ac:dyDescent="0.35">
      <c r="B104" t="s">
        <v>298</v>
      </c>
      <c r="C104" t="s">
        <v>313</v>
      </c>
    </row>
    <row r="105" spans="2:8" x14ac:dyDescent="0.35">
      <c r="B105" t="s">
        <v>300</v>
      </c>
      <c r="C105" t="s">
        <v>314</v>
      </c>
    </row>
    <row r="106" spans="2:8" x14ac:dyDescent="0.35">
      <c r="B106" t="s">
        <v>302</v>
      </c>
      <c r="C106" t="s">
        <v>315</v>
      </c>
    </row>
    <row r="107" spans="2:8" x14ac:dyDescent="0.35">
      <c r="B107" t="s">
        <v>304</v>
      </c>
      <c r="C107" s="14" t="s">
        <v>316</v>
      </c>
    </row>
    <row r="109" spans="2:8" x14ac:dyDescent="0.35">
      <c r="B109" s="29" t="s">
        <v>317</v>
      </c>
      <c r="C109" s="21"/>
      <c r="D109" s="21"/>
      <c r="E109" s="21"/>
      <c r="F109" s="21"/>
      <c r="G109" s="21"/>
      <c r="H109" s="21"/>
    </row>
    <row r="110" spans="2:8" x14ac:dyDescent="0.35">
      <c r="B110" t="s">
        <v>296</v>
      </c>
      <c r="C110" t="s">
        <v>297</v>
      </c>
    </row>
    <row r="111" spans="2:8" x14ac:dyDescent="0.35">
      <c r="B111" t="s">
        <v>298</v>
      </c>
      <c r="C111" t="s">
        <v>318</v>
      </c>
    </row>
    <row r="112" spans="2:8" x14ac:dyDescent="0.35">
      <c r="B112" t="s">
        <v>300</v>
      </c>
      <c r="C112" t="s">
        <v>319</v>
      </c>
    </row>
    <row r="113" spans="2:8" x14ac:dyDescent="0.35">
      <c r="B113" t="s">
        <v>302</v>
      </c>
      <c r="C113" t="s">
        <v>320</v>
      </c>
    </row>
    <row r="114" spans="2:8" x14ac:dyDescent="0.35">
      <c r="B114" t="s">
        <v>304</v>
      </c>
      <c r="C114" s="14" t="s">
        <v>321</v>
      </c>
    </row>
    <row r="116" spans="2:8" x14ac:dyDescent="0.35">
      <c r="B116" s="29" t="s">
        <v>322</v>
      </c>
      <c r="C116" s="21"/>
      <c r="D116" s="21"/>
      <c r="E116" s="21"/>
      <c r="F116" s="21"/>
      <c r="G116" s="21"/>
      <c r="H116" s="21"/>
    </row>
    <row r="117" spans="2:8" x14ac:dyDescent="0.35">
      <c r="B117" t="s">
        <v>296</v>
      </c>
      <c r="C117" t="s">
        <v>323</v>
      </c>
    </row>
    <row r="118" spans="2:8" x14ac:dyDescent="0.35">
      <c r="B118" t="s">
        <v>298</v>
      </c>
      <c r="C118" t="s">
        <v>324</v>
      </c>
    </row>
    <row r="119" spans="2:8" x14ac:dyDescent="0.35">
      <c r="B119" t="s">
        <v>300</v>
      </c>
      <c r="C119" t="s">
        <v>319</v>
      </c>
    </row>
    <row r="120" spans="2:8" x14ac:dyDescent="0.35">
      <c r="B120" t="s">
        <v>302</v>
      </c>
      <c r="C120" t="s">
        <v>320</v>
      </c>
    </row>
    <row r="121" spans="2:8" x14ac:dyDescent="0.35">
      <c r="B121" t="s">
        <v>304</v>
      </c>
      <c r="C121" s="14" t="s">
        <v>325</v>
      </c>
    </row>
    <row r="123" spans="2:8" x14ac:dyDescent="0.35">
      <c r="B123" s="29" t="s">
        <v>326</v>
      </c>
      <c r="C123" s="21"/>
      <c r="D123" s="21"/>
      <c r="E123" s="21"/>
      <c r="F123" s="21"/>
      <c r="G123" s="21"/>
      <c r="H123" s="21"/>
    </row>
    <row r="124" spans="2:8" x14ac:dyDescent="0.35">
      <c r="B124" t="s">
        <v>296</v>
      </c>
      <c r="C124" t="s">
        <v>327</v>
      </c>
    </row>
    <row r="125" spans="2:8" x14ac:dyDescent="0.35">
      <c r="B125" t="s">
        <v>298</v>
      </c>
      <c r="C125" t="s">
        <v>328</v>
      </c>
    </row>
    <row r="126" spans="2:8" x14ac:dyDescent="0.35">
      <c r="B126" t="s">
        <v>300</v>
      </c>
      <c r="C126" t="s">
        <v>329</v>
      </c>
    </row>
    <row r="127" spans="2:8" x14ac:dyDescent="0.35">
      <c r="B127" t="s">
        <v>302</v>
      </c>
      <c r="C127" t="s">
        <v>330</v>
      </c>
    </row>
    <row r="128" spans="2:8" x14ac:dyDescent="0.35">
      <c r="B128" t="s">
        <v>304</v>
      </c>
      <c r="C128" s="14" t="s">
        <v>331</v>
      </c>
    </row>
    <row r="130" spans="2:8" x14ac:dyDescent="0.35">
      <c r="B130" s="29" t="s">
        <v>332</v>
      </c>
      <c r="C130" s="21"/>
      <c r="D130" s="21"/>
      <c r="E130" s="21"/>
      <c r="F130" s="21"/>
      <c r="G130" s="21"/>
      <c r="H130" s="21"/>
    </row>
    <row r="131" spans="2:8" x14ac:dyDescent="0.35">
      <c r="B131" t="s">
        <v>296</v>
      </c>
      <c r="C131" t="s">
        <v>333</v>
      </c>
    </row>
    <row r="132" spans="2:8" x14ac:dyDescent="0.35">
      <c r="B132" t="s">
        <v>298</v>
      </c>
      <c r="C132" t="s">
        <v>334</v>
      </c>
    </row>
    <row r="133" spans="2:8" x14ac:dyDescent="0.35">
      <c r="B133" t="s">
        <v>300</v>
      </c>
      <c r="C133" t="s">
        <v>335</v>
      </c>
    </row>
    <row r="134" spans="2:8" x14ac:dyDescent="0.35">
      <c r="B134" t="s">
        <v>302</v>
      </c>
      <c r="C134" t="s">
        <v>336</v>
      </c>
    </row>
    <row r="135" spans="2:8" x14ac:dyDescent="0.35">
      <c r="B135" t="s">
        <v>304</v>
      </c>
      <c r="C135" s="14" t="s">
        <v>337</v>
      </c>
    </row>
    <row r="137" spans="2:8" x14ac:dyDescent="0.35">
      <c r="B137" s="29" t="s">
        <v>338</v>
      </c>
      <c r="C137" s="21"/>
      <c r="D137" s="21"/>
      <c r="E137" s="21"/>
      <c r="F137" s="21"/>
      <c r="G137" s="21"/>
      <c r="H137" s="21"/>
    </row>
    <row r="138" spans="2:8" x14ac:dyDescent="0.35">
      <c r="B138" t="s">
        <v>296</v>
      </c>
      <c r="C138" t="s">
        <v>339</v>
      </c>
    </row>
    <row r="139" spans="2:8" x14ac:dyDescent="0.35">
      <c r="B139" t="s">
        <v>298</v>
      </c>
      <c r="C139" t="s">
        <v>340</v>
      </c>
    </row>
    <row r="140" spans="2:8" x14ac:dyDescent="0.35">
      <c r="B140" t="s">
        <v>300</v>
      </c>
      <c r="C140" t="s">
        <v>341</v>
      </c>
    </row>
    <row r="141" spans="2:8" x14ac:dyDescent="0.35">
      <c r="B141" t="s">
        <v>302</v>
      </c>
      <c r="C141" t="s">
        <v>336</v>
      </c>
    </row>
    <row r="142" spans="2:8" x14ac:dyDescent="0.35">
      <c r="B142" t="s">
        <v>304</v>
      </c>
      <c r="C142" s="14" t="s">
        <v>342</v>
      </c>
    </row>
    <row r="144" spans="2:8" x14ac:dyDescent="0.35">
      <c r="B144" s="29" t="s">
        <v>343</v>
      </c>
      <c r="C144" s="21"/>
      <c r="D144" s="21"/>
      <c r="E144" s="21"/>
      <c r="F144" s="21"/>
      <c r="G144" s="21"/>
      <c r="H144" s="21"/>
    </row>
    <row r="145" spans="2:8" x14ac:dyDescent="0.35">
      <c r="B145" t="s">
        <v>296</v>
      </c>
      <c r="C145" t="s">
        <v>297</v>
      </c>
    </row>
    <row r="146" spans="2:8" x14ac:dyDescent="0.35">
      <c r="B146" t="s">
        <v>298</v>
      </c>
      <c r="C146" t="s">
        <v>344</v>
      </c>
    </row>
    <row r="147" spans="2:8" x14ac:dyDescent="0.35">
      <c r="B147" t="s">
        <v>300</v>
      </c>
      <c r="C147" t="s">
        <v>308</v>
      </c>
    </row>
    <row r="148" spans="2:8" x14ac:dyDescent="0.35">
      <c r="B148" t="s">
        <v>302</v>
      </c>
      <c r="C148" t="s">
        <v>345</v>
      </c>
    </row>
    <row r="149" spans="2:8" x14ac:dyDescent="0.35">
      <c r="B149" t="s">
        <v>304</v>
      </c>
      <c r="C149" s="14" t="s">
        <v>346</v>
      </c>
    </row>
    <row r="151" spans="2:8" x14ac:dyDescent="0.35">
      <c r="B151" s="29" t="s">
        <v>347</v>
      </c>
      <c r="C151" s="21"/>
      <c r="D151" s="21"/>
      <c r="E151" s="21"/>
      <c r="F151" s="21"/>
      <c r="G151" s="21"/>
      <c r="H151" s="21"/>
    </row>
    <row r="152" spans="2:8" x14ac:dyDescent="0.35">
      <c r="B152" t="s">
        <v>296</v>
      </c>
      <c r="C152" t="s">
        <v>297</v>
      </c>
    </row>
    <row r="153" spans="2:8" x14ac:dyDescent="0.35">
      <c r="B153" t="s">
        <v>298</v>
      </c>
      <c r="C153" t="s">
        <v>348</v>
      </c>
    </row>
    <row r="154" spans="2:8" x14ac:dyDescent="0.35">
      <c r="B154" t="s">
        <v>300</v>
      </c>
      <c r="C154" t="s">
        <v>319</v>
      </c>
    </row>
    <row r="155" spans="2:8" x14ac:dyDescent="0.35">
      <c r="B155" t="s">
        <v>302</v>
      </c>
      <c r="C155" t="s">
        <v>320</v>
      </c>
    </row>
    <row r="156" spans="2:8" x14ac:dyDescent="0.35">
      <c r="B156" t="s">
        <v>304</v>
      </c>
      <c r="C156" s="14" t="s">
        <v>349</v>
      </c>
    </row>
    <row r="160" spans="2:8" ht="17" x14ac:dyDescent="0.4">
      <c r="B160" s="30" t="s">
        <v>350</v>
      </c>
      <c r="C160" s="21"/>
      <c r="D160" s="21"/>
      <c r="E160" s="21"/>
      <c r="F160" s="21"/>
      <c r="G160" s="21"/>
      <c r="H160" s="21"/>
    </row>
    <row r="162" spans="2:8" x14ac:dyDescent="0.35">
      <c r="B162" s="29" t="s">
        <v>351</v>
      </c>
      <c r="C162" s="21"/>
      <c r="D162" s="21"/>
      <c r="E162" s="21"/>
      <c r="F162" s="21"/>
      <c r="G162" s="21"/>
      <c r="H162" s="21"/>
    </row>
    <row r="163" spans="2:8" x14ac:dyDescent="0.35">
      <c r="B163" t="s">
        <v>352</v>
      </c>
      <c r="C163" t="s">
        <v>353</v>
      </c>
    </row>
    <row r="164" spans="2:8" ht="72.5" x14ac:dyDescent="0.35">
      <c r="B164" t="s">
        <v>354</v>
      </c>
      <c r="C164" s="2" t="s">
        <v>355</v>
      </c>
    </row>
    <row r="165" spans="2:8" x14ac:dyDescent="0.35">
      <c r="B165" t="s">
        <v>356</v>
      </c>
      <c r="C165" s="14" t="s">
        <v>357</v>
      </c>
    </row>
    <row r="167" spans="2:8" x14ac:dyDescent="0.35">
      <c r="B167" s="29" t="s">
        <v>358</v>
      </c>
      <c r="C167" s="21"/>
      <c r="D167" s="21"/>
      <c r="E167" s="21"/>
      <c r="F167" s="21"/>
      <c r="G167" s="21"/>
      <c r="H167" s="21"/>
    </row>
    <row r="168" spans="2:8" x14ac:dyDescent="0.35">
      <c r="B168" t="s">
        <v>352</v>
      </c>
      <c r="C168" t="s">
        <v>359</v>
      </c>
    </row>
    <row r="169" spans="2:8" ht="87" x14ac:dyDescent="0.35">
      <c r="B169" t="s">
        <v>354</v>
      </c>
      <c r="C169" s="2" t="s">
        <v>360</v>
      </c>
    </row>
    <row r="170" spans="2:8" x14ac:dyDescent="0.35">
      <c r="B170" t="s">
        <v>356</v>
      </c>
      <c r="C170" s="14" t="s">
        <v>361</v>
      </c>
    </row>
    <row r="172" spans="2:8" x14ac:dyDescent="0.35">
      <c r="B172" s="29" t="s">
        <v>362</v>
      </c>
      <c r="C172" s="21"/>
      <c r="D172" s="21"/>
      <c r="E172" s="21"/>
      <c r="F172" s="21"/>
      <c r="G172" s="21"/>
      <c r="H172" s="21"/>
    </row>
    <row r="173" spans="2:8" x14ac:dyDescent="0.35">
      <c r="B173" t="s">
        <v>352</v>
      </c>
      <c r="C173" t="s">
        <v>363</v>
      </c>
    </row>
    <row r="174" spans="2:8" ht="58" x14ac:dyDescent="0.35">
      <c r="B174" t="s">
        <v>354</v>
      </c>
      <c r="C174" s="2" t="s">
        <v>364</v>
      </c>
    </row>
    <row r="175" spans="2:8" x14ac:dyDescent="0.35">
      <c r="B175" t="s">
        <v>356</v>
      </c>
      <c r="C175" s="14" t="s">
        <v>365</v>
      </c>
    </row>
    <row r="177" spans="2:8" x14ac:dyDescent="0.35">
      <c r="B177" s="29" t="s">
        <v>366</v>
      </c>
      <c r="C177" s="21"/>
      <c r="D177" s="21"/>
      <c r="E177" s="21"/>
      <c r="F177" s="21"/>
      <c r="G177" s="21"/>
      <c r="H177" s="21"/>
    </row>
    <row r="178" spans="2:8" x14ac:dyDescent="0.35">
      <c r="B178" t="s">
        <v>352</v>
      </c>
      <c r="C178" t="s">
        <v>367</v>
      </c>
    </row>
    <row r="179" spans="2:8" ht="43.5" x14ac:dyDescent="0.35">
      <c r="B179" t="s">
        <v>354</v>
      </c>
      <c r="C179" s="2" t="s">
        <v>368</v>
      </c>
    </row>
    <row r="180" spans="2:8" x14ac:dyDescent="0.35">
      <c r="B180" t="s">
        <v>356</v>
      </c>
      <c r="C180" s="14" t="s">
        <v>369</v>
      </c>
    </row>
    <row r="182" spans="2:8" x14ac:dyDescent="0.35">
      <c r="B182" s="29" t="s">
        <v>370</v>
      </c>
      <c r="C182" s="21"/>
      <c r="D182" s="21"/>
      <c r="E182" s="21"/>
      <c r="F182" s="21"/>
      <c r="G182" s="21"/>
      <c r="H182" s="21"/>
    </row>
    <row r="183" spans="2:8" x14ac:dyDescent="0.35">
      <c r="B183" t="s">
        <v>352</v>
      </c>
      <c r="C183" t="s">
        <v>371</v>
      </c>
    </row>
    <row r="184" spans="2:8" ht="29" x14ac:dyDescent="0.35">
      <c r="B184" t="s">
        <v>354</v>
      </c>
      <c r="C184" s="2" t="s">
        <v>372</v>
      </c>
    </row>
    <row r="185" spans="2:8" x14ac:dyDescent="0.35">
      <c r="B185" t="s">
        <v>356</v>
      </c>
      <c r="C185" s="14" t="s">
        <v>373</v>
      </c>
    </row>
    <row r="187" spans="2:8" x14ac:dyDescent="0.35">
      <c r="B187" s="29" t="s">
        <v>374</v>
      </c>
      <c r="C187" s="21"/>
      <c r="D187" s="21"/>
      <c r="E187" s="21"/>
      <c r="F187" s="21"/>
      <c r="G187" s="21"/>
      <c r="H187" s="21"/>
    </row>
    <row r="188" spans="2:8" x14ac:dyDescent="0.35">
      <c r="B188" t="s">
        <v>352</v>
      </c>
      <c r="C188" t="s">
        <v>375</v>
      </c>
    </row>
    <row r="189" spans="2:8" ht="43.5" x14ac:dyDescent="0.35">
      <c r="B189" t="s">
        <v>354</v>
      </c>
      <c r="C189" s="2" t="s">
        <v>376</v>
      </c>
    </row>
    <row r="190" spans="2:8" x14ac:dyDescent="0.35">
      <c r="B190" t="s">
        <v>356</v>
      </c>
      <c r="C190" s="14" t="s">
        <v>377</v>
      </c>
    </row>
    <row r="192" spans="2:8" x14ac:dyDescent="0.35">
      <c r="B192" s="29" t="s">
        <v>378</v>
      </c>
      <c r="C192" s="21"/>
      <c r="D192" s="21"/>
      <c r="E192" s="21"/>
      <c r="F192" s="21"/>
      <c r="G192" s="21"/>
      <c r="H192" s="21"/>
    </row>
    <row r="193" spans="2:8" x14ac:dyDescent="0.35">
      <c r="B193" t="s">
        <v>352</v>
      </c>
      <c r="C193" t="s">
        <v>379</v>
      </c>
    </row>
    <row r="194" spans="2:8" ht="43.5" x14ac:dyDescent="0.35">
      <c r="B194" t="s">
        <v>354</v>
      </c>
      <c r="C194" s="2" t="s">
        <v>380</v>
      </c>
    </row>
    <row r="195" spans="2:8" x14ac:dyDescent="0.35">
      <c r="B195" t="s">
        <v>356</v>
      </c>
      <c r="C195" s="14" t="s">
        <v>381</v>
      </c>
    </row>
    <row r="197" spans="2:8" x14ac:dyDescent="0.35">
      <c r="B197" s="29" t="s">
        <v>382</v>
      </c>
      <c r="C197" s="21"/>
      <c r="D197" s="21"/>
      <c r="E197" s="21"/>
      <c r="F197" s="21"/>
      <c r="G197" s="21"/>
      <c r="H197" s="21"/>
    </row>
    <row r="198" spans="2:8" x14ac:dyDescent="0.35">
      <c r="B198" t="s">
        <v>352</v>
      </c>
      <c r="C198" t="s">
        <v>383</v>
      </c>
    </row>
    <row r="199" spans="2:8" ht="43.5" x14ac:dyDescent="0.35">
      <c r="B199" t="s">
        <v>354</v>
      </c>
      <c r="C199" s="2" t="s">
        <v>384</v>
      </c>
    </row>
    <row r="200" spans="2:8" x14ac:dyDescent="0.35">
      <c r="B200" t="s">
        <v>356</v>
      </c>
      <c r="C200" s="14" t="s">
        <v>385</v>
      </c>
    </row>
    <row r="202" spans="2:8" ht="17" x14ac:dyDescent="0.4">
      <c r="B202" s="30" t="s">
        <v>386</v>
      </c>
      <c r="C202" s="21"/>
      <c r="D202" s="21"/>
      <c r="E202" s="21"/>
      <c r="F202" s="21"/>
      <c r="G202" s="21"/>
      <c r="H202" s="21"/>
    </row>
    <row r="204" spans="2:8" x14ac:dyDescent="0.35">
      <c r="B204" s="29" t="s">
        <v>387</v>
      </c>
      <c r="C204" s="21"/>
      <c r="D204" s="21"/>
      <c r="E204" s="21"/>
      <c r="F204" s="21"/>
      <c r="G204" s="21"/>
      <c r="H204" s="21"/>
    </row>
    <row r="205" spans="2:8" x14ac:dyDescent="0.35">
      <c r="B205" t="s">
        <v>388</v>
      </c>
      <c r="C205" t="s">
        <v>389</v>
      </c>
    </row>
    <row r="206" spans="2:8" x14ac:dyDescent="0.35">
      <c r="B206" t="s">
        <v>390</v>
      </c>
      <c r="C206" t="s">
        <v>391</v>
      </c>
    </row>
    <row r="207" spans="2:8" x14ac:dyDescent="0.35">
      <c r="B207" t="s">
        <v>392</v>
      </c>
      <c r="C207" t="s">
        <v>393</v>
      </c>
    </row>
    <row r="208" spans="2:8" x14ac:dyDescent="0.35">
      <c r="B208" t="s">
        <v>394</v>
      </c>
      <c r="C208" t="s">
        <v>395</v>
      </c>
    </row>
    <row r="209" spans="2:8" x14ac:dyDescent="0.35">
      <c r="B209" t="s">
        <v>396</v>
      </c>
      <c r="C209" t="s">
        <v>397</v>
      </c>
    </row>
    <row r="210" spans="2:8" x14ac:dyDescent="0.35">
      <c r="B210" t="s">
        <v>398</v>
      </c>
      <c r="C210" t="s">
        <v>399</v>
      </c>
    </row>
    <row r="211" spans="2:8" x14ac:dyDescent="0.35">
      <c r="B211" t="s">
        <v>400</v>
      </c>
      <c r="C211" t="s">
        <v>401</v>
      </c>
    </row>
    <row r="213" spans="2:8" x14ac:dyDescent="0.35">
      <c r="B213" s="29" t="s">
        <v>402</v>
      </c>
      <c r="C213" s="21"/>
      <c r="D213" s="21"/>
      <c r="E213" s="21"/>
      <c r="F213" s="21"/>
      <c r="G213" s="21"/>
      <c r="H213" s="21"/>
    </row>
    <row r="214" spans="2:8" x14ac:dyDescent="0.35">
      <c r="B214" t="s">
        <v>403</v>
      </c>
      <c r="C214" t="s">
        <v>404</v>
      </c>
    </row>
    <row r="215" spans="2:8" x14ac:dyDescent="0.35">
      <c r="B215" t="s">
        <v>405</v>
      </c>
      <c r="C215" t="s">
        <v>406</v>
      </c>
    </row>
    <row r="216" spans="2:8" x14ac:dyDescent="0.35">
      <c r="B216" t="s">
        <v>296</v>
      </c>
      <c r="C216" t="s">
        <v>407</v>
      </c>
    </row>
    <row r="217" spans="2:8" x14ac:dyDescent="0.35">
      <c r="B217" t="s">
        <v>408</v>
      </c>
      <c r="C217" t="s">
        <v>409</v>
      </c>
    </row>
    <row r="218" spans="2:8" x14ac:dyDescent="0.35">
      <c r="B218" t="s">
        <v>410</v>
      </c>
      <c r="C218" t="s">
        <v>411</v>
      </c>
    </row>
    <row r="220" spans="2:8" ht="17" x14ac:dyDescent="0.4">
      <c r="B220" s="30" t="s">
        <v>412</v>
      </c>
      <c r="C220" s="21"/>
      <c r="D220" s="21"/>
      <c r="E220" s="21"/>
      <c r="F220" s="21"/>
      <c r="G220" s="21"/>
      <c r="H220" s="21"/>
    </row>
    <row r="222" spans="2:8" ht="145" x14ac:dyDescent="0.35">
      <c r="B222" s="3" t="s">
        <v>413</v>
      </c>
      <c r="C222" s="2" t="s">
        <v>414</v>
      </c>
    </row>
    <row r="223" spans="2:8" ht="87" x14ac:dyDescent="0.35">
      <c r="B223" s="3" t="s">
        <v>415</v>
      </c>
      <c r="C223" s="2" t="s">
        <v>416</v>
      </c>
    </row>
    <row r="224" spans="2:8" ht="101.5" x14ac:dyDescent="0.35">
      <c r="B224" s="3" t="s">
        <v>417</v>
      </c>
      <c r="C224" s="2" t="s">
        <v>418</v>
      </c>
    </row>
    <row r="225" spans="2:8" ht="87" x14ac:dyDescent="0.35">
      <c r="B225" s="3" t="s">
        <v>419</v>
      </c>
      <c r="C225" s="2" t="s">
        <v>420</v>
      </c>
    </row>
    <row r="226" spans="2:8" ht="72.5" x14ac:dyDescent="0.35">
      <c r="B226" s="3" t="s">
        <v>421</v>
      </c>
      <c r="C226" s="2" t="s">
        <v>422</v>
      </c>
    </row>
    <row r="227" spans="2:8" ht="58" x14ac:dyDescent="0.35">
      <c r="B227" s="3" t="s">
        <v>423</v>
      </c>
      <c r="C227" s="2" t="s">
        <v>424</v>
      </c>
    </row>
    <row r="228" spans="2:8" ht="116" x14ac:dyDescent="0.35">
      <c r="B228" s="3" t="s">
        <v>425</v>
      </c>
      <c r="C228" s="2" t="s">
        <v>426</v>
      </c>
    </row>
    <row r="229" spans="2:8" ht="101.5" x14ac:dyDescent="0.35">
      <c r="B229" s="3" t="s">
        <v>427</v>
      </c>
      <c r="C229" s="2" t="s">
        <v>428</v>
      </c>
    </row>
    <row r="231" spans="2:8" ht="17" x14ac:dyDescent="0.4">
      <c r="B231" s="30" t="s">
        <v>429</v>
      </c>
      <c r="C231" s="31"/>
      <c r="D231" s="31"/>
      <c r="E231" s="31"/>
      <c r="F231" s="31"/>
      <c r="G231" s="31"/>
      <c r="H231" s="31"/>
    </row>
    <row r="233" spans="2:8" x14ac:dyDescent="0.35">
      <c r="B233" s="29" t="s">
        <v>430</v>
      </c>
      <c r="C233" s="21"/>
      <c r="D233" s="21"/>
      <c r="E233" s="21"/>
      <c r="F233" s="21"/>
      <c r="G233" s="21"/>
      <c r="H233" s="21"/>
    </row>
    <row r="234" spans="2:8" ht="101.5" x14ac:dyDescent="0.35">
      <c r="B234" t="s">
        <v>431</v>
      </c>
      <c r="C234" s="2" t="s">
        <v>432</v>
      </c>
    </row>
    <row r="235" spans="2:8" ht="101.5" x14ac:dyDescent="0.35">
      <c r="B235" t="s">
        <v>433</v>
      </c>
      <c r="C235" s="2" t="s">
        <v>434</v>
      </c>
    </row>
    <row r="236" spans="2:8" ht="72.5" x14ac:dyDescent="0.35">
      <c r="B236" t="s">
        <v>435</v>
      </c>
      <c r="C236" s="2" t="s">
        <v>436</v>
      </c>
    </row>
    <row r="237" spans="2:8" ht="87" x14ac:dyDescent="0.35">
      <c r="B237" t="s">
        <v>437</v>
      </c>
      <c r="C237" s="2" t="s">
        <v>438</v>
      </c>
    </row>
    <row r="239" spans="2:8" ht="17" x14ac:dyDescent="0.4">
      <c r="B239" s="30" t="s">
        <v>439</v>
      </c>
      <c r="C239" s="21"/>
      <c r="D239" s="21"/>
      <c r="E239" s="21"/>
      <c r="F239" s="21"/>
      <c r="G239" s="21"/>
      <c r="H239" s="21"/>
    </row>
    <row r="241" spans="2:8" x14ac:dyDescent="0.35">
      <c r="B241" s="29" t="s">
        <v>440</v>
      </c>
      <c r="C241" s="21"/>
      <c r="D241" s="21"/>
      <c r="E241" s="21"/>
      <c r="F241" s="21"/>
      <c r="G241" s="21"/>
      <c r="H241" s="21"/>
    </row>
    <row r="242" spans="2:8" x14ac:dyDescent="0.35">
      <c r="B242" t="s">
        <v>441</v>
      </c>
      <c r="C242" t="s">
        <v>442</v>
      </c>
    </row>
    <row r="243" spans="2:8" x14ac:dyDescent="0.35">
      <c r="B243" t="s">
        <v>443</v>
      </c>
      <c r="C243" t="s">
        <v>444</v>
      </c>
    </row>
    <row r="244" spans="2:8" x14ac:dyDescent="0.35">
      <c r="B244" t="s">
        <v>445</v>
      </c>
      <c r="C244" t="s">
        <v>446</v>
      </c>
    </row>
    <row r="245" spans="2:8" x14ac:dyDescent="0.35">
      <c r="B245" t="s">
        <v>447</v>
      </c>
      <c r="C245" t="s">
        <v>448</v>
      </c>
    </row>
    <row r="246" spans="2:8" x14ac:dyDescent="0.35">
      <c r="B246" t="s">
        <v>449</v>
      </c>
      <c r="C246" t="s">
        <v>450</v>
      </c>
    </row>
    <row r="247" spans="2:8" x14ac:dyDescent="0.35">
      <c r="B247" t="s">
        <v>451</v>
      </c>
      <c r="C247" t="s">
        <v>452</v>
      </c>
    </row>
    <row r="249" spans="2:8" x14ac:dyDescent="0.35">
      <c r="B249" s="29" t="s">
        <v>453</v>
      </c>
      <c r="C249" s="21"/>
      <c r="D249" s="21"/>
      <c r="E249" s="21"/>
      <c r="F249" s="21"/>
      <c r="G249" s="21"/>
      <c r="H249" s="21"/>
    </row>
    <row r="250" spans="2:8" x14ac:dyDescent="0.35">
      <c r="B250" s="3" t="s">
        <v>454</v>
      </c>
      <c r="C250" s="15" t="s">
        <v>455</v>
      </c>
    </row>
    <row r="251" spans="2:8" x14ac:dyDescent="0.35">
      <c r="B251" s="3" t="s">
        <v>456</v>
      </c>
      <c r="C251" s="15" t="s">
        <v>457</v>
      </c>
    </row>
    <row r="252" spans="2:8" x14ac:dyDescent="0.35">
      <c r="B252" s="3" t="s">
        <v>458</v>
      </c>
      <c r="C252" s="15" t="s">
        <v>459</v>
      </c>
    </row>
    <row r="253" spans="2:8" x14ac:dyDescent="0.35">
      <c r="B253" s="3" t="s">
        <v>460</v>
      </c>
      <c r="C253" s="15" t="s">
        <v>461</v>
      </c>
    </row>
    <row r="254" spans="2:8" x14ac:dyDescent="0.35">
      <c r="B254" s="3" t="s">
        <v>462</v>
      </c>
      <c r="C254" s="15" t="s">
        <v>463</v>
      </c>
    </row>
    <row r="255" spans="2:8" x14ac:dyDescent="0.35">
      <c r="B255" s="3" t="s">
        <v>464</v>
      </c>
      <c r="C255" s="15" t="s">
        <v>465</v>
      </c>
    </row>
    <row r="256" spans="2:8" x14ac:dyDescent="0.35">
      <c r="B256" s="3" t="s">
        <v>466</v>
      </c>
      <c r="C256" s="15" t="s">
        <v>467</v>
      </c>
    </row>
    <row r="257" spans="2:8" x14ac:dyDescent="0.35">
      <c r="B257" s="3" t="s">
        <v>468</v>
      </c>
      <c r="C257" s="15" t="s">
        <v>469</v>
      </c>
    </row>
    <row r="258" spans="2:8" x14ac:dyDescent="0.35">
      <c r="B258" s="3" t="s">
        <v>470</v>
      </c>
      <c r="C258" s="15" t="s">
        <v>471</v>
      </c>
    </row>
    <row r="260" spans="2:8" x14ac:dyDescent="0.35">
      <c r="B260" s="29" t="s">
        <v>472</v>
      </c>
      <c r="C260" s="31"/>
      <c r="D260" s="31"/>
      <c r="E260" s="31"/>
      <c r="F260" s="31"/>
      <c r="G260" s="31"/>
      <c r="H260" s="31"/>
    </row>
    <row r="261" spans="2:8" x14ac:dyDescent="0.35">
      <c r="B261" s="3" t="s">
        <v>473</v>
      </c>
    </row>
    <row r="262" spans="2:8" x14ac:dyDescent="0.35">
      <c r="B262" s="3" t="s">
        <v>474</v>
      </c>
    </row>
    <row r="263" spans="2:8" x14ac:dyDescent="0.35">
      <c r="B263" s="3" t="s">
        <v>475</v>
      </c>
    </row>
    <row r="264" spans="2:8" x14ac:dyDescent="0.35">
      <c r="B264" s="3" t="s">
        <v>476</v>
      </c>
    </row>
    <row r="265" spans="2:8" x14ac:dyDescent="0.35">
      <c r="B265" s="3" t="s">
        <v>477</v>
      </c>
    </row>
    <row r="266" spans="2:8" x14ac:dyDescent="0.35">
      <c r="B266" s="3" t="s">
        <v>478</v>
      </c>
    </row>
    <row r="267" spans="2:8" x14ac:dyDescent="0.35">
      <c r="B267" s="3" t="s">
        <v>479</v>
      </c>
    </row>
    <row r="268" spans="2:8" x14ac:dyDescent="0.35">
      <c r="B268" s="3" t="s">
        <v>480</v>
      </c>
    </row>
    <row r="269" spans="2:8" x14ac:dyDescent="0.35">
      <c r="B269" s="3" t="s">
        <v>481</v>
      </c>
    </row>
  </sheetData>
  <mergeCells count="47">
    <mergeCell ref="C8:H8"/>
    <mergeCell ref="B2:H2"/>
    <mergeCell ref="B3:H3"/>
    <mergeCell ref="B5:H5"/>
    <mergeCell ref="C6:H6"/>
    <mergeCell ref="C7:H7"/>
    <mergeCell ref="B86:H86"/>
    <mergeCell ref="C9:H9"/>
    <mergeCell ref="C10:H10"/>
    <mergeCell ref="C11:H11"/>
    <mergeCell ref="C12:H12"/>
    <mergeCell ref="C13:H13"/>
    <mergeCell ref="B16:H20"/>
    <mergeCell ref="B25:H25"/>
    <mergeCell ref="B26:H26"/>
    <mergeCell ref="B27:H27"/>
    <mergeCell ref="B28:H28"/>
    <mergeCell ref="B65:H65"/>
    <mergeCell ref="B162:H162"/>
    <mergeCell ref="B88:H88"/>
    <mergeCell ref="B95:H95"/>
    <mergeCell ref="B102:H102"/>
    <mergeCell ref="B109:H109"/>
    <mergeCell ref="B116:H116"/>
    <mergeCell ref="B123:H123"/>
    <mergeCell ref="B130:H130"/>
    <mergeCell ref="B137:H137"/>
    <mergeCell ref="B144:H144"/>
    <mergeCell ref="B151:H151"/>
    <mergeCell ref="B160:H160"/>
    <mergeCell ref="B231:H231"/>
    <mergeCell ref="B167:H167"/>
    <mergeCell ref="B172:H172"/>
    <mergeCell ref="B177:H177"/>
    <mergeCell ref="B182:H182"/>
    <mergeCell ref="B187:H187"/>
    <mergeCell ref="B192:H192"/>
    <mergeCell ref="B197:H197"/>
    <mergeCell ref="B202:H202"/>
    <mergeCell ref="B204:H204"/>
    <mergeCell ref="B213:H213"/>
    <mergeCell ref="B220:H220"/>
    <mergeCell ref="B233:H233"/>
    <mergeCell ref="B239:H239"/>
    <mergeCell ref="B241:H241"/>
    <mergeCell ref="B249:H249"/>
    <mergeCell ref="B260:H26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30A43B-3838-4A70-AE3C-03D58381D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Claude Log</vt:lpstr>
      <vt:lpstr>Treasury_Dashboard</vt:lpstr>
      <vt:lpstr>Bank_Statement</vt:lpstr>
      <vt:lpstr>General_Ledger</vt:lpstr>
      <vt:lpstr>Reconciliation_Rules</vt:lpstr>
      <vt:lpstr>Claude_AI_Prompt</vt:lpstr>
      <vt:lpstr>Reconciliation_Output</vt:lpstr>
      <vt:lpstr>Bank_Only</vt:lpstr>
      <vt:lpstr>Summary_KPI </vt:lpstr>
      <vt:lpstr>GL_Only</vt:lpstr>
      <vt:lpstr>PowerQuery_M_Code</vt:lpstr>
      <vt:lpstr>Treasury_Dashboard_Guide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arroliga</cp:lastModifiedBy>
  <dcterms:created xsi:type="dcterms:W3CDTF">2026-05-14T01:14:51Z</dcterms:created>
  <dcterms:modified xsi:type="dcterms:W3CDTF">2026-05-14T03:17:39Z</dcterms:modified>
</cp:coreProperties>
</file>